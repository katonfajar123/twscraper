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176f079ff24086" /></Relationships>
</file>

<file path=xl/workbook.xml><?xml version="1.0" encoding="utf-8"?>
<x:workbook xmlns:x="http://schemas.openxmlformats.org/spreadsheetml/2006/main">
  <x:sheets>
    <x:sheet xmlns:r="http://schemas.openxmlformats.org/officeDocument/2006/relationships" name="Petunjuk" sheetId="1" r:id="Rb5d91c02988d4d8a"/>
    <x:sheet xmlns:r="http://schemas.openxmlformats.org/officeDocument/2006/relationships" name="Anotasi" sheetId="2" r:id="R1ccfbee22b6e422f"/>
    <x:sheet xmlns:r="http://schemas.openxmlformats.org/officeDocument/2006/relationships" name="Taksonomi" sheetId="3" r:id="R369aefa66054489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8">
    <x:font>
      <x:sz val="11"/>
      <x:name val="Carlito"/>
    </x:font>
    <x:font>
      <x:sz val="11"/>
      <x:name val="Calibri"/>
    </x:font>
    <x:font>
      <x:sz val="11"/>
      <x:color rgb="243C49"/>
      <x:name val="Calibri"/>
    </x:font>
    <x:font>
      <x:b/>
      <x:sz val="18"/>
      <x:color rgb="FFFFFF"/>
      <x:name val="Calibri"/>
    </x:font>
    <x:font>
      <x:b/>
      <x:sz val="11"/>
      <x:color rgb="243C49"/>
      <x:name val="Calibri"/>
    </x:font>
    <x:font>
      <x:b/>
      <x:sz val="11"/>
      <x:color rgb="FFFFFF"/>
      <x:name val="Calibri"/>
    </x:font>
    <x:font>
      <x:b/>
      <x:sz val="18"/>
      <x:color rgb="176B78"/>
      <x:name val="Calibri"/>
    </x:font>
    <x:font>
      <x:sz val="11"/>
      <x:color rgb="124AA2"/>
      <x:name val="Calibri"/>
    </x:font>
  </x:fonts>
  <x:fills count="6">
    <x:fill>
      <x:patternFill patternType="none"/>
    </x:fill>
    <x:fill>
      <x:patternFill patternType="gray125"/>
    </x:fill>
    <x:fill>
      <x:patternFill patternType="solid">
        <x:fgColor rgb="14394D"/>
      </x:patternFill>
    </x:fill>
    <x:fill>
      <x:patternFill patternType="solid">
        <x:fgColor rgb="EAF3F5"/>
      </x:patternFill>
    </x:fill>
    <x:fill>
      <x:patternFill patternType="solid">
        <x:fgColor rgb="176B78"/>
      </x:patternFill>
    </x:fill>
    <x:fill>
      <x:patternFill patternType="solid">
        <x:fgColor rgb="FFF8E6"/>
      </x:patternFill>
    </x:fill>
  </x:fills>
  <x:borders count="2">
    <x:border/>
    <x:border/>
  </x:borders>
  <x:cellStyleXfs count="1">
    <x:xf numFmtId="0" fontId="0" fillId="0" borderId="0"/>
  </x:cellStyleXfs>
  <x:cellXfs count="41">
    <x:xf numFmtId="0" fontId="0" fillId="0" borderId="0" xfId="0"/>
    <x:xf numFmtId="0" fontId="1" fillId="0" borderId="0" xfId="0" applyNumberFormat="1" applyFont="1" applyFill="1" applyBorder="1"/>
    <x:xf numFmtId="0" fontId="0" fillId="0" borderId="1" xfId="0" applyNumberFormat="1" applyFont="1" applyFill="1" applyBorder="1"/>
    <x:xf numFmtId="0" fontId="1" fillId="0"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0" fontId="4"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0" borderId="1" xfId="0" applyNumberFormat="1" applyFont="1" applyFill="1" applyBorder="1" applyAlignment="1">
      <x:alignment wrapText="1"/>
    </x:xf>
    <x:xf numFmtId="0" fontId="2" fillId="0" borderId="1" xfId="0" applyNumberFormat="1" applyFont="1" applyFill="1" applyBorder="1" applyAlignment="1">
      <x:alignment wrapText="1"/>
    </x:xf>
    <x:xf numFmtId="0" fontId="4"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4" fillId="3" borderId="1" xfId="0" applyNumberFormat="1" applyFont="1" applyFill="1" applyBorder="1" applyAlignment="1">
      <x:alignment wrapText="1"/>
    </x:xf>
    <x:xf numFmtId="0" fontId="2" fillId="3" borderId="1" xfId="0" applyNumberFormat="1" applyFont="1" applyFill="1" applyBorder="1" applyAlignment="1">
      <x:alignment wrapText="1"/>
    </x:xf>
    <x:xf numFmtId="0" fontId="2" fillId="4" borderId="0" xfId="0" applyNumberFormat="1" applyFont="1" applyFill="1" applyBorder="1"/>
    <x:xf numFmtId="0" fontId="2" fillId="4" borderId="1" xfId="0" applyNumberFormat="1" applyFont="1" applyFill="1" applyBorder="1"/>
    <x:xf numFmtId="0" fontId="5" fillId="4" borderId="0" xfId="0" applyNumberFormat="1" applyFont="1" applyFill="1" applyBorder="1"/>
    <x:xf numFmtId="0" fontId="5" fillId="4" borderId="1" xfId="0" applyNumberFormat="1" applyFont="1" applyFill="1" applyBorder="1"/>
    <x:xf numFmtId="0" fontId="5" fillId="4" borderId="0" xfId="0" applyNumberFormat="1" applyFont="1" applyFill="1" applyBorder="1" applyAlignment="1">
      <x:alignment wrapText="1"/>
    </x:xf>
    <x:xf numFmtId="0" fontId="5" fillId="4" borderId="1"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200" fontId="2" fillId="0" borderId="0" xfId="0" applyNumberFormat="1" applyFont="1" applyFill="1" applyBorder="1"/>
    <x:xf numFmtId="200" fontId="2" fillId="0" borderId="1" xfId="0" applyNumberFormat="1" applyFont="1" applyFill="1" applyBorder="1"/>
    <x:xf numFmtId="200" fontId="2" fillId="0" borderId="0" xfId="0" applyNumberFormat="1" applyFont="1" applyFill="1" applyBorder="1" applyAlignment="1">
      <x:alignment wrapText="1"/>
    </x:xf>
    <x:xf numFmtId="200" fontId="2" fillId="0" borderId="1" xfId="0" applyNumberFormat="1" applyFont="1" applyFill="1" applyBorder="1" applyAlignment="1">
      <x:alignment wrapText="1"/>
    </x:xf>
    <x:xf numFmtId="200" fontId="2"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200" fontId="2" fillId="0" borderId="1" xfId="0" applyNumberFormat="1" applyFont="1" applyFill="1" applyBorder="1" applyAlignment="1">
      <x:alignment vertical="top" wrapText="1"/>
    </x:xf>
    <x:xf numFmtId="0" fontId="2" fillId="0" borderId="1" xfId="0" applyNumberFormat="1" applyFont="1" applyFill="1" applyBorder="1" applyAlignment="1">
      <x:alignment vertical="top" wrapText="1"/>
    </x:xf>
    <x:xf numFmtId="200" fontId="2" fillId="5" borderId="0" xfId="0" applyNumberFormat="1" applyFont="1" applyFill="1" applyBorder="1" applyAlignment="1">
      <x:alignment vertical="top" wrapText="1"/>
    </x:xf>
    <x:xf numFmtId="200" fontId="2" fillId="5" borderId="1" xfId="0" applyNumberFormat="1" applyFont="1" applyFill="1" applyBorder="1" applyAlignment="1">
      <x:alignment vertical="top" wrapText="1"/>
    </x:xf>
    <x:xf numFmtId="200" fontId="7" fillId="5" borderId="0" xfId="0" applyNumberFormat="1" applyFont="1" applyFill="1" applyBorder="1" applyAlignment="1">
      <x:alignment vertical="top" wrapText="1"/>
    </x:xf>
  </x:cellXfs>
  <x:cellStyles count="1">
    <x:cellStyle name="Normal" xfId="0"/>
  </x:cellStyles>
  <x:dxfs count="2">
    <x:dxf>
      <x:fill>
        <x:patternFill patternType="solid">
          <x:bgColor rgb="FCE4D6"/>
        </x:patternFill>
      </x:fill>
    </x:dxf>
    <x:dxf>
      <x:fill>
        <x:patternFill patternType="solid">
          <x:bgColor rgb="DBEFE5"/>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991264b37ae4781" /><Relationship Type="http://schemas.openxmlformats.org/officeDocument/2006/relationships/theme" Target="/xl/theme/theme1.xml" Id="R87081bd6ba044b8d" /><Relationship Type="http://schemas.openxmlformats.org/officeDocument/2006/relationships/sharedStrings" Target="/xl/sharedStrings.xml" Id="Rbdd92857be354707" /><Relationship Type="http://schemas.openxmlformats.org/officeDocument/2006/relationships/worksheet" Target="/xl/worksheets/sheet1.xml" Id="Rb5d91c02988d4d8a" /><Relationship Type="http://schemas.openxmlformats.org/officeDocument/2006/relationships/worksheet" Target="/xl/worksheets/sheet2.xml" Id="R1ccfbee22b6e422f" /><Relationship Type="http://schemas.openxmlformats.org/officeDocument/2006/relationships/worksheet" Target="/xl/worksheets/sheet3.xml" Id="R369aefa660544898" /></Relationships>
</file>

<file path=xl/tables/table1.xml><?xml version="1.0" encoding="utf-8"?>
<x:table xmlns:x="http://schemas.openxmlformats.org/spreadsheetml/2006/main" id="1" name="Annotations_A2" displayName="Annotations_A2" ref="A5:L305" headerRowCount="1">
  <x:tableColumns count="12">
    <x:tableColumn id="1" name="Tweet_ID"/>
    <x:tableColumn id="2" name="Root_Tweet_ID"/>
    <x:tableColumn id="3" name="Teks_Root"/>
    <x:tableColumn id="4" name="Teks_Komentar"/>
    <x:tableColumn id="5" name="Kategori_Utama"/>
    <x:tableColumn id="6" name="Subkategori_Primer"/>
    <x:tableColumn id="7" name="Kategori_Sekunder"/>
    <x:tableColumn id="8" name="Annotation_Status"/>
    <x:tableColumn id="9" name="Alasan_Singkat"/>
    <x:tableColumn id="10" name="Annotator_Code"/>
    <x:tableColumn id="11" name="Label_Guide_Version"/>
    <x:tableColumn id="12" name="Validas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c8be96c302d440c" /></Relationships>
</file>

<file path=xl/worksheets/sheet1.xml><?xml version="1.0" encoding="utf-8"?>
<x:worksheet xmlns:x="http://schemas.openxmlformats.org/spreadsheetml/2006/main">
  <x:sheetViews>
    <x:sheetView showGridLines="0" workbookViewId="0"/>
  </x:sheetViews>
  <x:sheetFormatPr defaultRowHeight="15"/>
  <x:cols>
    <x:col min="1" max="1" width="21.43000030517578" hidden="0" customWidth="1"/>
    <x:col min="2" max="2" width="21.43000030517578" hidden="0" customWidth="1"/>
    <x:col min="3" max="3" width="21.43000030517578" hidden="0" customWidth="1"/>
    <x:col min="4" max="4" width="21.43000030517578" hidden="0" customWidth="1"/>
    <x:col min="5" max="5" width="21.43000030517578" hidden="0" customWidth="1"/>
    <x:col min="6" max="6" width="21.43000030517578" hidden="0" customWidth="1"/>
  </x:cols>
  <x:sheetData>
    <x:row r="1" ht="34" customHeight="1">
      <x:c r="A1" s="10" t="str">
        <x:v>MBG / Pilot anotasi independen A2</x:v>
      </x:c>
      <x:c r="B1" s="10" t="str">
        <x:v>MBG / Pilot anotasi independen A2</x:v>
      </x:c>
      <x:c r="C1" s="10" t="str">
        <x:v>MBG / Pilot anotasi independen A2</x:v>
      </x:c>
      <x:c r="D1" s="10" t="str">
        <x:v>MBG / Pilot anotasi independen A2</x:v>
      </x:c>
      <x:c r="E1" s="10" t="str">
        <x:v>MBG / Pilot anotasi independen A2</x:v>
      </x:c>
      <x:c r="F1" s="10" t="str">
        <x:v>MBG / Pilot anotasi independen A2</x:v>
      </x:c>
      <x:c r="G1" s="4"/>
      <x:c r="H1" s="4"/>
      <x:c r="I1" s="4"/>
      <x:c r="J1" s="4"/>
      <x:c r="K1" s="4"/>
      <x:c r="L1" s="4"/>
    </x:row>
    <x:row r="2" ht="34" customHeight="1">
      <x:c r="A2" s="10" t="str">
        <x:v>MBG / Pilot anotasi independen A2</x:v>
      </x:c>
      <x:c r="B2" s="10" t="str">
        <x:v>MBG / Pilot anotasi independen A2</x:v>
      </x:c>
      <x:c r="C2" s="10" t="str">
        <x:v>MBG / Pilot anotasi independen A2</x:v>
      </x:c>
      <x:c r="D2" s="10" t="str">
        <x:v>MBG / Pilot anotasi independen A2</x:v>
      </x:c>
      <x:c r="E2" s="10" t="str">
        <x:v>MBG / Pilot anotasi independen A2</x:v>
      </x:c>
      <x:c r="F2" s="10" t="str">
        <x:v>MBG / Pilot anotasi independen A2</x:v>
      </x:c>
      <x:c r="G2" s="4"/>
      <x:c r="H2" s="4"/>
      <x:c r="I2" s="4"/>
      <x:c r="J2" s="4"/>
      <x:c r="K2" s="4"/>
      <x:c r="L2" s="4"/>
    </x:row>
    <x:row r="3">
      <x:c r="A3" s="4"/>
      <x:c r="B3" s="4"/>
      <x:c r="C3" s="4"/>
      <x:c r="D3" s="4"/>
      <x:c r="E3" s="4"/>
      <x:c r="F3" s="4"/>
      <x:c r="G3" s="4"/>
      <x:c r="H3" s="4"/>
      <x:c r="I3" s="4"/>
      <x:c r="J3" s="4"/>
      <x:c r="K3" s="4"/>
      <x:c r="L3" s="4"/>
    </x:row>
    <x:row r="4" ht="44" customHeight="1">
      <x:c r="A4" s="18" t="str">
        <x:v>Tujuan</x:v>
      </x:c>
      <x:c r="B4" s="19" t="str">
        <x:v>Pilih aspek utama komentar: Mutu_Gizi, Tata_Kelola, atau Distribusi. Ini bukan label sentimen.</x:v>
      </x:c>
      <x:c r="C4" s="19"/>
      <x:c r="D4" s="19"/>
      <x:c r="E4" s="19"/>
      <x:c r="F4" s="19"/>
      <x:c r="G4" s="4"/>
      <x:c r="H4" s="4"/>
      <x:c r="I4" s="4"/>
      <x:c r="J4" s="4"/>
      <x:c r="K4" s="4"/>
      <x:c r="L4" s="4"/>
    </x:row>
    <x:row r="5" ht="44" customHeight="1">
      <x:c r="A5" s="14" t="str">
        <x:v>Langkah 1</x:v>
      </x:c>
      <x:c r="B5" s="15" t="str">
        <x:v>Buka Anotasi. Baca komentar dan konteks root; setiap baris adalah satu direct reply.</x:v>
      </x:c>
      <x:c r="C5" s="15"/>
      <x:c r="D5" s="15"/>
      <x:c r="E5" s="15"/>
      <x:c r="F5" s="15"/>
      <x:c r="G5" s="4"/>
      <x:c r="H5" s="4"/>
      <x:c r="I5" s="4"/>
      <x:c r="J5" s="4"/>
      <x:c r="K5" s="4"/>
      <x:c r="L5" s="4"/>
    </x:row>
    <x:row r="6" ht="44" customHeight="1">
      <x:c r="A6" s="18" t="str">
        <x:v>Langkah 2</x:v>
      </x:c>
      <x:c r="B6" s="19" t="str">
        <x:v>Isi kolom E–I. Pilih kategori dan subkategori yang konsisten menggunakan dropdown dan Taksonomi.</x:v>
      </x:c>
      <x:c r="C6" s="19"/>
      <x:c r="D6" s="19"/>
      <x:c r="E6" s="19"/>
      <x:c r="F6" s="19"/>
      <x:c r="G6" s="4"/>
      <x:c r="H6" s="4"/>
      <x:c r="I6" s="4"/>
      <x:c r="J6" s="4"/>
      <x:c r="K6" s="4"/>
      <x:c r="L6" s="4"/>
    </x:row>
    <x:row r="7" ht="44" customHeight="1">
      <x:c r="A7" s="14" t="str">
        <x:v>Langkah 3</x:v>
      </x:c>
      <x:c r="B7" s="15" t="str">
        <x:v>Jika makna dapat diputuskan: LABELED. Jika ambigu/di luar aspek: UNCLEAR, kosongkan kategori dan tulis alasan.</x:v>
      </x:c>
      <x:c r="C7" s="15"/>
      <x:c r="D7" s="15"/>
      <x:c r="E7" s="15"/>
      <x:c r="F7" s="15"/>
      <x:c r="G7" s="4"/>
      <x:c r="H7" s="4"/>
      <x:c r="I7" s="4"/>
      <x:c r="J7" s="4"/>
      <x:c r="K7" s="4"/>
      <x:c r="L7" s="4"/>
    </x:row>
    <x:row r="8" ht="44" customHeight="1">
      <x:c r="A8" s="18" t="str">
        <x:v>Independensi</x:v>
      </x:c>
      <x:c r="B8" s="19" t="str">
        <x:v>Berkas ini khusus A2. Jangan melihat hasil annotator lain, strata sampling, atau prediksi model.</x:v>
      </x:c>
      <x:c r="C8" s="19"/>
      <x:c r="D8" s="19"/>
      <x:c r="E8" s="19"/>
      <x:c r="F8" s="19"/>
      <x:c r="G8" s="4"/>
      <x:c r="H8" s="4"/>
      <x:c r="I8" s="4"/>
      <x:c r="J8" s="4"/>
      <x:c r="K8" s="4"/>
      <x:c r="L8" s="4"/>
    </x:row>
    <x:row r="9" ht="44" customHeight="1">
      <x:c r="A9" s="14" t="str">
        <x:v>Data sumber</x:v>
      </x:c>
      <x:c r="B9" s="15" t="str">
        <x:v>Jangan mengubah kolom A–D, J–K. ID disimpan sebagai teks. Teks lengkap dapat dibaca pada formula bar; tinggi baris boleh diperbesar.</x:v>
      </x:c>
      <x:c r="C9" s="15"/>
      <x:c r="D9" s="15"/>
      <x:c r="E9" s="15"/>
      <x:c r="F9" s="15"/>
      <x:c r="G9" s="4"/>
      <x:c r="H9" s="4"/>
      <x:c r="I9" s="4"/>
      <x:c r="J9" s="4"/>
      <x:c r="K9" s="4"/>
      <x:c r="L9" s="4"/>
    </x:row>
    <x:row r="10" ht="44" customHeight="1">
      <x:c r="A10" s="18" t="str">
        <x:v>Validasi</x:v>
      </x:c>
      <x:c r="B10" s="19" t="str">
        <x:v>Kolom L memeriksa pasangan kategori/subkategori dan status. Semua baris selesai harus berisi OK.</x:v>
      </x:c>
      <x:c r="C10" s="19"/>
      <x:c r="D10" s="19"/>
      <x:c r="E10" s="19"/>
      <x:c r="F10" s="19"/>
      <x:c r="G10" s="4"/>
      <x:c r="H10" s="4"/>
      <x:c r="I10" s="4"/>
      <x:c r="J10" s="4"/>
      <x:c r="K10" s="4"/>
      <x:c r="L10" s="4"/>
    </x:row>
    <x:row r="11" ht="44" customHeight="1">
      <x:c r="A11" s="14" t="str">
        <x:v>Penyerahan</x:v>
      </x:c>
      <x:c r="B11" s="15" t="str">
        <x:v>Simpan berkas dengan kode A1/A2. Koordinator baru membandingkan hasil setelah kedua anotator selesai.</x:v>
      </x:c>
      <x:c r="C11" s="15"/>
      <x:c r="D11" s="15"/>
      <x:c r="E11" s="15"/>
      <x:c r="F11" s="15"/>
      <x:c r="G11" s="4"/>
      <x:c r="H11" s="4"/>
      <x:c r="I11" s="4"/>
      <x:c r="J11" s="4"/>
      <x:c r="K11" s="4"/>
      <x:c r="L11" s="4"/>
    </x:row>
    <x:row r="12" ht="44" customHeight="1">
      <x:c r="A12" s="18" t="str">
        <x:v>Tahap berikut</x:v>
      </x:c>
      <x:c r="B12" s="19" t="str">
        <x:v>Hitung agreement dan Cohen's kappa; adjudikasi perbedaan dan UNCLEAR sebelum membuat ground truth.</x:v>
      </x:c>
      <x:c r="C12" s="19"/>
      <x:c r="D12" s="19"/>
      <x:c r="E12" s="19"/>
      <x:c r="F12" s="19"/>
      <x:c r="G12" s="4"/>
      <x:c r="H12" s="4"/>
      <x:c r="I12" s="4"/>
      <x:c r="J12" s="4"/>
      <x:c r="K12" s="4"/>
      <x:c r="L12" s="4"/>
    </x:row>
    <x:row r="13" ht="44" customHeight="1">
      <x:c r="A13" s="14" t="str">
        <x:v>Panduan</x:v>
      </x:c>
      <x:c r="B13" s="15" t="str">
        <x:v>LABELING_GUIDE.md versi 1.0. Ambiguitas tidak boleh dipaksa masuk suatu kategori.</x:v>
      </x:c>
      <x:c r="C13" s="15"/>
      <x:c r="D13" s="15"/>
      <x:c r="E13" s="15"/>
      <x:c r="F13" s="15"/>
      <x:c r="G13" s="4"/>
      <x:c r="H13" s="4"/>
      <x:c r="I13" s="4"/>
      <x:c r="J13" s="4"/>
      <x:c r="K13" s="4"/>
      <x:c r="L13" s="4"/>
    </x:row>
    <x:row r="14" ht="44" customHeight="1">
      <x:c r="A14" s="18" t="str">
        <x:v>Sumber</x:v>
      </x:c>
      <x:c r="B14" s="19" t="str">
        <x:v>MBG_Dataset_DirectReplies_20260907_0825.csv</x:v>
      </x:c>
      <x:c r="C14" s="19"/>
      <x:c r="D14" s="19"/>
      <x:c r="E14" s="19"/>
      <x:c r="F14" s="19"/>
      <x:c r="G14" s="4"/>
      <x:c r="H14" s="4"/>
      <x:c r="I14" s="4"/>
      <x:c r="J14" s="4"/>
      <x:c r="K14" s="4"/>
      <x:c r="L14" s="4"/>
    </x:row>
    <x:row r="15" ht="35" customHeight="1">
      <x:c r="A15" s="14" t="str">
        <x:v>SHA-256 sumber</x:v>
      </x:c>
      <x:c r="B15" s="15" t="str">
        <x:v>4d87565d1d58c3e68d4f8fe249bd1aa2223bc380276e26cea15ec5b78ed35f6b</x:v>
      </x:c>
      <x:c r="C15" s="15"/>
      <x:c r="D15" s="15"/>
      <x:c r="E15" s="15"/>
      <x:c r="F15" s="15"/>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ht="32" customHeight="1">
      <x:c r="A18" s="26" t="str">
        <x:v>Jumlah komentar</x:v>
      </x:c>
      <x:c r="B18" s="26" t="str">
        <x:v>Selesai valid</x:v>
      </x:c>
      <x:c r="C18" s="26" t="str">
        <x:v>Perlu diperiksa</x:v>
      </x:c>
      <x:c r="D18" s="4"/>
      <x:c r="E18" s="4"/>
      <x:c r="F18" s="4"/>
      <x:c r="G18" s="4"/>
      <x:c r="H18" s="4"/>
      <x:c r="I18" s="4"/>
      <x:c r="J18" s="4"/>
      <x:c r="K18" s="4"/>
      <x:c r="L18" s="4"/>
    </x:row>
    <x:row r="19" ht="32" customHeight="1">
      <x:c r="A19" s="28" t="n">
        <x:f>COUNTA(Anotasi!A6:A305)</x:f>
        <x:v>300</x:v>
      </x:c>
      <x:c r="B19" s="28" t="n">
        <x:f>COUNTIF(Anotasi!L6:L305,"OK")</x:f>
        <x:v>0</x:v>
      </x:c>
      <x:c r="C19" s="28" t="n">
        <x:f>COUNTIF(Anotasi!L6:L305,"PERIKSA")</x:f>
        <x:v>0</x:v>
      </x:c>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F2"/>
    <x:mergeCell ref="B4:F4"/>
    <x:mergeCell ref="B5:F5"/>
    <x:mergeCell ref="B6:F6"/>
    <x:mergeCell ref="B7:F7"/>
    <x:mergeCell ref="B8:F8"/>
    <x:mergeCell ref="B9:F9"/>
    <x:mergeCell ref="B10:F10"/>
    <x:mergeCell ref="B11:F11"/>
    <x:mergeCell ref="B12:F12"/>
    <x:mergeCell ref="B13:F13"/>
    <x:mergeCell ref="B14:F14"/>
    <x:mergeCell ref="B15:F1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5.709999084472656" hidden="0" customWidth="1"/>
    <x:col min="2" max="2" width="25.709999084472656" hidden="0" customWidth="1"/>
    <x:col min="3" max="3" width="59.290000915527344" hidden="0" customWidth="1"/>
    <x:col min="4" max="4" width="59.290000915527344" hidden="0" customWidth="1"/>
    <x:col min="5" max="5" width="24.290000915527344" hidden="0" customWidth="1"/>
    <x:col min="6" max="6" width="43.56999969482422" hidden="0" customWidth="1"/>
    <x:col min="7" max="7" width="24.290000915527344" hidden="0" customWidth="1"/>
    <x:col min="8" max="8" width="22.860000610351562" hidden="0" customWidth="1"/>
    <x:col min="9" max="9" width="42.13999938964844" hidden="0" customWidth="1"/>
    <x:col min="10" max="10" width="17.139999389648438" hidden="0" customWidth="1"/>
    <x:col min="11" max="11" width="19.290000915527344" hidden="0" customWidth="1"/>
    <x:col min="12" max="12" width="16.43000030517578" hidden="0" customWidth="1"/>
  </x:cols>
  <x:sheetData>
    <x:row r="1" ht="34" customHeight="1">
      <x:c r="A1" s="10" t="str">
        <x:v>Anotasi A2 / 300 direct reply MBG</x:v>
      </x:c>
      <x:c r="B1" s="10" t="str">
        <x:v>Anotasi A2 / 300 direct reply MBG</x:v>
      </x:c>
      <x:c r="C1" s="10" t="str">
        <x:v>Anotasi A2 / 300 direct reply MBG</x:v>
      </x:c>
      <x:c r="D1" s="10" t="str">
        <x:v>Anotasi A2 / 300 direct reply MBG</x:v>
      </x:c>
      <x:c r="E1" s="10" t="str">
        <x:v>Anotasi A2 / 300 direct reply MBG</x:v>
      </x:c>
      <x:c r="F1" s="10" t="str">
        <x:v>Anotasi A2 / 300 direct reply MBG</x:v>
      </x:c>
      <x:c r="G1" s="10" t="str">
        <x:v>Anotasi A2 / 300 direct reply MBG</x:v>
      </x:c>
      <x:c r="H1" s="10" t="str">
        <x:v>Anotasi A2 / 300 direct reply MBG</x:v>
      </x:c>
      <x:c r="I1" s="10" t="str">
        <x:v>Anotasi A2 / 300 direct reply MBG</x:v>
      </x:c>
      <x:c r="J1" s="10" t="str">
        <x:v>Anotasi A2 / 300 direct reply MBG</x:v>
      </x:c>
      <x:c r="K1" s="10" t="str">
        <x:v>Anotasi A2 / 300 direct reply MBG</x:v>
      </x:c>
      <x:c r="L1" s="10" t="str">
        <x:v>Anotasi A2 / 300 direct reply MBG</x:v>
      </x:c>
    </x:row>
    <x:row r="2" ht="34" customHeight="1">
      <x:c r="A2" s="10" t="str">
        <x:v>Anotasi A2 / 300 direct reply MBG</x:v>
      </x:c>
      <x:c r="B2" s="10" t="str">
        <x:v>Anotasi A2 / 300 direct reply MBG</x:v>
      </x:c>
      <x:c r="C2" s="10" t="str">
        <x:v>Anotasi A2 / 300 direct reply MBG</x:v>
      </x:c>
      <x:c r="D2" s="10" t="str">
        <x:v>Anotasi A2 / 300 direct reply MBG</x:v>
      </x:c>
      <x:c r="E2" s="10" t="str">
        <x:v>Anotasi A2 / 300 direct reply MBG</x:v>
      </x:c>
      <x:c r="F2" s="10" t="str">
        <x:v>Anotasi A2 / 300 direct reply MBG</x:v>
      </x:c>
      <x:c r="G2" s="10" t="str">
        <x:v>Anotasi A2 / 300 direct reply MBG</x:v>
      </x:c>
      <x:c r="H2" s="10" t="str">
        <x:v>Anotasi A2 / 300 direct reply MBG</x:v>
      </x:c>
      <x:c r="I2" s="10" t="str">
        <x:v>Anotasi A2 / 300 direct reply MBG</x:v>
      </x:c>
      <x:c r="J2" s="10" t="str">
        <x:v>Anotasi A2 / 300 direct reply MBG</x:v>
      </x:c>
      <x:c r="K2" s="10" t="str">
        <x:v>Anotasi A2 / 300 direct reply MBG</x:v>
      </x:c>
      <x:c r="L2" s="10" t="str">
        <x:v>Anotasi A2 / 300 direct reply MBG</x:v>
      </x:c>
    </x:row>
    <x:row r="3" ht="26" customHeight="1">
      <x:c r="A3" s="4" t="str">
        <x:v>Isi E–I secara independen. Baca Taksonomi; pilih UNCLEAR bila tidak pasti. Teks lengkap tersedia pada formula bar.</x:v>
      </x:c>
      <x:c r="B3" s="4"/>
      <x:c r="C3" s="4"/>
      <x:c r="D3" s="4"/>
      <x:c r="E3" s="4"/>
      <x:c r="F3" s="4"/>
      <x:c r="G3" s="4"/>
      <x:c r="H3" s="4"/>
      <x:c r="I3" s="4"/>
      <x:c r="J3" s="4"/>
      <x:c r="K3" s="4"/>
      <x:c r="L3" s="4"/>
    </x:row>
    <x:row r="4">
      <x:c r="A4" s="4"/>
      <x:c r="B4" s="4"/>
      <x:c r="C4" s="4"/>
      <x:c r="D4" s="4"/>
      <x:c r="E4" s="4"/>
      <x:c r="F4" s="4"/>
      <x:c r="G4" s="4"/>
      <x:c r="H4" s="4"/>
      <x:c r="I4" s="4"/>
      <x:c r="J4" s="4"/>
      <x:c r="K4" s="4"/>
      <x:c r="L4" s="4"/>
    </x:row>
    <x:row r="5" ht="32" customHeight="1">
      <x:c r="A5" s="26" t="str">
        <x:v>Tweet_ID</x:v>
      </x:c>
      <x:c r="B5" s="26" t="str">
        <x:v>Root_Tweet_ID</x:v>
      </x:c>
      <x:c r="C5" s="26" t="str">
        <x:v>Teks_Root</x:v>
      </x:c>
      <x:c r="D5" s="26" t="str">
        <x:v>Teks_Komentar</x:v>
      </x:c>
      <x:c r="E5" s="26" t="str">
        <x:v>Kategori_Utama</x:v>
      </x:c>
      <x:c r="F5" s="26" t="str">
        <x:v>Subkategori_Primer</x:v>
      </x:c>
      <x:c r="G5" s="26" t="str">
        <x:v>Kategori_Sekunder</x:v>
      </x:c>
      <x:c r="H5" s="26" t="str">
        <x:v>Annotation_Status</x:v>
      </x:c>
      <x:c r="I5" s="26" t="str">
        <x:v>Alasan_Singkat</x:v>
      </x:c>
      <x:c r="J5" s="26" t="str">
        <x:v>Annotator_Code</x:v>
      </x:c>
      <x:c r="K5" s="26" t="str">
        <x:v>Label_Guide_Version</x:v>
      </x:c>
      <x:c r="L5" s="26" t="str">
        <x:v>Validasi</x:v>
      </x:c>
    </x:row>
    <x:row r="6" ht="145" customHeight="1">
      <x:c r="A6" s="34" t="str">
        <x:v>1970826347498053720</x:v>
      </x:c>
      <x:c r="B6" s="34" t="str">
        <x:v>1970775217908633972</x:v>
      </x:c>
      <x:c r="C6" s="34" t="str">
        <x:v>Perawatan Korban Keracunan Makan Bergizi Gratis di Cipongkor https://t.co/lryP6sf2hv</x:v>
      </x:c>
      <x:c r="D6" s="34" t="str">
        <x:v>'@tempodotco Ini tiap ada kasus mbg kenapa harus ada parjo?</x:v>
      </x:c>
      <x:c r="E6" s="40" t="str"/>
      <x:c r="F6" s="40" t="str"/>
      <x:c r="G6" s="40" t="str"/>
      <x:c r="H6" s="40" t="str"/>
      <x:c r="I6" s="40" t="str"/>
      <x:c r="J6" s="34" t="str">
        <x:v>A2</x:v>
      </x:c>
      <x:c r="K6" s="34" t="str">
        <x:v>1.0</x:v>
      </x:c>
      <x:c r="L6" s="35" t="str">
        <x:f>IF(AND(E6="",F6="",G6="",H6="",I6=""),"",IF(OR(AND(H6="UNCLEAR",E6="",F6="",G6="",I6&lt;&gt;""),AND(H6="LABELED",COUNTIFS(Taksonomi!$A$5:$A$13,E6,Taksonomi!$B$5:$B$13,F6)=1,OR(G6="",AND(COUNTIF(Taksonomi!$D$4:$D$6,G6)=1,G6&lt;&gt;E6)))),"OK","PERIKSA"))</x:f>
      </x:c>
    </x:row>
    <x:row r="7" ht="145" customHeight="1">
      <x:c r="A7" s="34" t="str">
        <x:v>2022622333987623039</x:v>
      </x:c>
      <x:c r="B7" s="34" t="str">
        <x:v>2021941648276816324</x:v>
      </x:c>
      <x:c r="C7" s="34"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7" s="34" t="str">
        <x:v>'@kompascom Peh jan kebangeten lho pemerintah iki. Mosok kerjo sakwulan mung dibayar 350 ewu. Kui ngunu jek dipotong neh nggo iuran</x:v>
      </x:c>
      <x:c r="E7" s="40" t="str"/>
      <x:c r="F7" s="40" t="str"/>
      <x:c r="G7" s="40" t="str"/>
      <x:c r="H7" s="40" t="str"/>
      <x:c r="I7" s="40" t="str"/>
      <x:c r="J7" s="34" t="str">
        <x:v>A2</x:v>
      </x:c>
      <x:c r="K7" s="34" t="str">
        <x:v>1.0</x:v>
      </x:c>
      <x:c r="L7" s="35" t="str">
        <x:f>IF(AND(E7="",F7="",G7="",H7="",I7=""),"",IF(OR(AND(H7="UNCLEAR",E7="",F7="",G7="",I7&lt;&gt;""),AND(H7="LABELED",COUNTIFS(Taksonomi!$A$5:$A$13,E7,Taksonomi!$B$5:$B$13,F7)=1,OR(G7="",AND(COUNTIF(Taksonomi!$D$4:$D$6,G7)=1,G7&lt;&gt;E7)))),"OK","PERIKSA"))</x:f>
      </x:c>
    </x:row>
    <x:row r="8" ht="145" customHeight="1">
      <x:c r="A8" s="34" t="str">
        <x:v>1880226850213097907</x:v>
      </x:c>
      <x:c r="B8" s="34" t="str">
        <x:v>1880223557533282333</x:v>
      </x:c>
      <x:c r="C8" s="34" t="str">
        <x:v>BPOM Belum Dilibatkan secara Formal dalam Program Makan Bergizi Gratis
https://t.co/FOz85rDphM</x:v>
      </x:c>
      <x:c r="D8" s="34" t="str">
        <x:v>'@tempodotco Lucu. Makanan yg disiapkan oleh ratusan vendor catering, dengan menu yg berubah setiap hari, dengan pemasok ribuan supplier, mau diBPOMin spt apa?</x:v>
      </x:c>
      <x:c r="E8" s="40" t="str"/>
      <x:c r="F8" s="40" t="str"/>
      <x:c r="G8" s="40" t="str"/>
      <x:c r="H8" s="40" t="str"/>
      <x:c r="I8" s="40" t="str"/>
      <x:c r="J8" s="34" t="str">
        <x:v>A2</x:v>
      </x:c>
      <x:c r="K8" s="34" t="str">
        <x:v>1.0</x:v>
      </x:c>
      <x:c r="L8" s="35" t="str">
        <x:f>IF(AND(E8="",F8="",G8="",H8="",I8=""),"",IF(OR(AND(H8="UNCLEAR",E8="",F8="",G8="",I8&lt;&gt;""),AND(H8="LABELED",COUNTIFS(Taksonomi!$A$5:$A$13,E8,Taksonomi!$B$5:$B$13,F8)=1,OR(G8="",AND(COUNTIF(Taksonomi!$D$4:$D$6,G8)=1,G8&lt;&gt;E8)))),"OK","PERIKSA"))</x:f>
      </x:c>
    </x:row>
    <x:row r="9" ht="145" customHeight="1">
      <x:c r="A9" s="34" t="str">
        <x:v>1889906963896774731</x:v>
      </x:c>
      <x:c r="B9" s="34" t="str">
        <x:v>1889564364476154223</x:v>
      </x:c>
      <x:c r="C9" s="34" t="str">
        <x:v>Mul and Ndut, blood is on your hands</x:v>
      </x:c>
      <x:c r="D9" s="34" t="str">
        <x:v>'@ffikriawan TOLAK PEMANGKASAN DANA PENDIDIKAN ‼️ 
#daruratpendidikan #savekipkuliah #turunkanuktptn</x:v>
      </x:c>
      <x:c r="E9" s="40" t="str"/>
      <x:c r="F9" s="40" t="str"/>
      <x:c r="G9" s="40" t="str"/>
      <x:c r="H9" s="40" t="str"/>
      <x:c r="I9" s="40" t="str"/>
      <x:c r="J9" s="34" t="str">
        <x:v>A2</x:v>
      </x:c>
      <x:c r="K9" s="34" t="str">
        <x:v>1.0</x:v>
      </x:c>
      <x:c r="L9" s="35" t="str">
        <x:f>IF(AND(E9="",F9="",G9="",H9="",I9=""),"",IF(OR(AND(H9="UNCLEAR",E9="",F9="",G9="",I9&lt;&gt;""),AND(H9="LABELED",COUNTIFS(Taksonomi!$A$5:$A$13,E9,Taksonomi!$B$5:$B$13,F9)=1,OR(G9="",AND(COUNTIF(Taksonomi!$D$4:$D$6,G9)=1,G9&lt;&gt;E9)))),"OK","PERIKSA"))</x:f>
      </x:c>
    </x:row>
    <x:row r="10" ht="145" customHeight="1">
      <x:c r="A10" s="34" t="str">
        <x:v>2010579014633877760</x:v>
      </x:c>
      <x:c r="B10" s="34" t="str">
        <x:v>1914232065618559152</x:v>
      </x:c>
      <x:c r="C10" s="34" t="str">
        <x:v>Dugaan Penggelembungan MBG
Program Makan Bergizi Gratis menggunakan sistem reimbursement. Rentan digelembungkan.
Simak selengkapnya Program Bocor Alus Politik di Channel Youtube Tempodotco dan Spotify
#BocorAlusPolitik #PodcastBAP #PodcastTempo https://t.co/EUkUi8QDRY</x:v>
      </x:c>
      <x:c r="D10" s="34" t="str">
        <x:v>'@tempodotco Kerja Nyata pemerintah atasi stunting dgn program MBG yg bertujuan meningkatkan kualitas gizi anak Indonesia 🇮🇩
#LanjutkanMBG</x:v>
      </x:c>
      <x:c r="E10" s="40" t="str"/>
      <x:c r="F10" s="40" t="str"/>
      <x:c r="G10" s="40" t="str"/>
      <x:c r="H10" s="40" t="str"/>
      <x:c r="I10" s="40" t="str"/>
      <x:c r="J10" s="34" t="str">
        <x:v>A2</x:v>
      </x:c>
      <x:c r="K10" s="34" t="str">
        <x:v>1.0</x:v>
      </x:c>
      <x:c r="L10" s="35" t="str">
        <x:f>IF(AND(E10="",F10="",G10="",H10="",I10=""),"",IF(OR(AND(H10="UNCLEAR",E10="",F10="",G10="",I10&lt;&gt;""),AND(H10="LABELED",COUNTIFS(Taksonomi!$A$5:$A$13,E10,Taksonomi!$B$5:$B$13,F10)=1,OR(G10="",AND(COUNTIF(Taksonomi!$D$4:$D$6,G10)=1,G10&lt;&gt;E10)))),"OK","PERIKSA"))</x:f>
      </x:c>
    </x:row>
    <x:row r="11" ht="145" customHeight="1">
      <x:c r="A11" s="34" t="str">
        <x:v>1879462370751512610</x:v>
      </x:c>
      <x:c r="B11" s="34" t="str">
        <x:v>1879445721478525034</x:v>
      </x:c>
      <x:c r="C11" s="34" t="str">
        <x:v>Baiq Silawati, jurnalis perempuan di Lombok Timur, dipaksa HAPUS REKAMAN VIDEO saat meliput dapur program Makan Bergizi Gratis! 
APA ALASANNYA?
#LombokTimur #MakanBergiziGratis #AgamawanSalam https://t.co/piMQ1Ww7Vg</x:v>
      </x:c>
      <x:c r="D11" s="34" t="str">
        <x:v>'@detikbali__ Badan Gizi Nasional (BGN) mengizinkan masyarakat untuk mengambil foto maupun video menu makan bergizi gratis (MBG) yang disajikan kepada anak sekolah dan ibu hamil https://t.co/A7oSzLTpb7</x:v>
      </x:c>
      <x:c r="E11" s="40" t="str"/>
      <x:c r="F11" s="40" t="str"/>
      <x:c r="G11" s="40" t="str"/>
      <x:c r="H11" s="40" t="str"/>
      <x:c r="I11" s="40" t="str"/>
      <x:c r="J11" s="34" t="str">
        <x:v>A2</x:v>
      </x:c>
      <x:c r="K11" s="34" t="str">
        <x:v>1.0</x:v>
      </x:c>
      <x:c r="L11" s="35" t="str">
        <x:f>IF(AND(E11="",F11="",G11="",H11="",I11=""),"",IF(OR(AND(H11="UNCLEAR",E11="",F11="",G11="",I11&lt;&gt;""),AND(H11="LABELED",COUNTIFS(Taksonomi!$A$5:$A$13,E11,Taksonomi!$B$5:$B$13,F11)=1,OR(G11="",AND(COUNTIF(Taksonomi!$D$4:$D$6,G11)=1,G11&lt;&gt;E11)))),"OK","PERIKSA"))</x:f>
      </x:c>
    </x:row>
    <x:row r="12" ht="145" customHeight="1">
      <x:c r="A12" s="34" t="str">
        <x:v>1890097236077604894</x:v>
      </x:c>
      <x:c r="B12" s="34" t="str">
        <x:v>1889587856714125570</x:v>
      </x:c>
      <x:c r="C12" s="34" t="str">
        <x:v>Ternyata Makan bergizi gratis gak ada gratis-gratisnya ya? biayanya pakai kehilangan pekerjaan ayah nya ya?
Kenapa sih hal kecil kaya gini aja harus bohong</x:v>
      </x:c>
      <x:c r="D12" s="34" t="str">
        <x:v>'@hrdbacot TOLAK PEMANGKASAN DANA PENDIDIKAN ‼️ 
#daruratpendidikan #savekipkuliah #turunkanuktptn</x:v>
      </x:c>
      <x:c r="E12" s="40" t="str"/>
      <x:c r="F12" s="40" t="str"/>
      <x:c r="G12" s="40" t="str"/>
      <x:c r="H12" s="40" t="str"/>
      <x:c r="I12" s="40" t="str"/>
      <x:c r="J12" s="34" t="str">
        <x:v>A2</x:v>
      </x:c>
      <x:c r="K12" s="34" t="str">
        <x:v>1.0</x:v>
      </x:c>
      <x:c r="L12" s="35" t="str">
        <x:f>IF(AND(E12="",F12="",G12="",H12="",I12=""),"",IF(OR(AND(H12="UNCLEAR",E12="",F12="",G12="",I12&lt;&gt;""),AND(H12="LABELED",COUNTIFS(Taksonomi!$A$5:$A$13,E12,Taksonomi!$B$5:$B$13,F12)=1,OR(G12="",AND(COUNTIF(Taksonomi!$D$4:$D$6,G12)=1,G12&lt;&gt;E12)))),"OK","PERIKSA"))</x:f>
      </x:c>
    </x:row>
    <x:row r="13" ht="145" customHeight="1">
      <x:c r="A13" s="34" t="str">
        <x:v>1919881475144745043</x:v>
      </x:c>
      <x:c r="B13" s="34" t="str">
        <x:v>1919741437429592138</x:v>
      </x:c>
      <x:c r="C13" s="34" t="str">
        <x:v>Melonjak, BGN Butuh Rp 116,6 Triliun untuk Program Makan Bergizi Gratis Hingga Akhir Tahun
https://t.co/kH9V1SQbFU</x:v>
      </x:c>
      <x:c r="D13" s="34" t="str">
        <x:v>'@tempodotco makin bnyak lagi murid keracunan https://t.co/RcUcLIemfX</x:v>
      </x:c>
      <x:c r="E13" s="40" t="str"/>
      <x:c r="F13" s="40" t="str"/>
      <x:c r="G13" s="40" t="str"/>
      <x:c r="H13" s="40" t="str"/>
      <x:c r="I13" s="40" t="str"/>
      <x:c r="J13" s="34" t="str">
        <x:v>A2</x:v>
      </x:c>
      <x:c r="K13" s="34" t="str">
        <x:v>1.0</x:v>
      </x:c>
      <x:c r="L13" s="35" t="str">
        <x:f>IF(AND(E13="",F13="",G13="",H13="",I13=""),"",IF(OR(AND(H13="UNCLEAR",E13="",F13="",G13="",I13&lt;&gt;""),AND(H13="LABELED",COUNTIFS(Taksonomi!$A$5:$A$13,E13,Taksonomi!$B$5:$B$13,F13)=1,OR(G13="",AND(COUNTIF(Taksonomi!$D$4:$D$6,G13)=1,G13&lt;&gt;E13)))),"OK","PERIKSA"))</x:f>
      </x:c>
    </x:row>
    <x:row r="14" ht="145" customHeight="1">
      <x:c r="A14" s="34" t="str">
        <x:v>1983811092217561334</x:v>
      </x:c>
      <x:c r="B14" s="34" t="str">
        <x:v>1983440825863549077</x:v>
      </x:c>
      <x:c r="C14" s="34" t="str">
        <x:v>Makan Bergizi Gratis (MBG) di Kecamatan Kamal, Bangkalan, Jatim terkontaminasi ulat sayur. Namun, pihak SPPG menilai jenis ulat tersebut bisa dikonsumsi dan tinggi protein.
Baca di sini: https://t.co/xRALTkUXET
~TA #MakanBergiziGratis #Bangkalan https://t.co/yeoPeypvNO</x:v>
      </x:c>
      <x:c r="D14" s="34" t="str">
        <x:v>'@kompascom @BisKota_ Ngga usah banyak bersilit lidah. Langsung saja pihak sppg mencicipi hidangan ulat sayur itu</x:v>
      </x:c>
      <x:c r="E14" s="40" t="str"/>
      <x:c r="F14" s="40" t="str"/>
      <x:c r="G14" s="40" t="str"/>
      <x:c r="H14" s="40" t="str"/>
      <x:c r="I14" s="40" t="str"/>
      <x:c r="J14" s="34" t="str">
        <x:v>A2</x:v>
      </x:c>
      <x:c r="K14" s="34" t="str">
        <x:v>1.0</x:v>
      </x:c>
      <x:c r="L14" s="35" t="str">
        <x:f>IF(AND(E14="",F14="",G14="",H14="",I14=""),"",IF(OR(AND(H14="UNCLEAR",E14="",F14="",G14="",I14&lt;&gt;""),AND(H14="LABELED",COUNTIFS(Taksonomi!$A$5:$A$13,E14,Taksonomi!$B$5:$B$13,F14)=1,OR(G14="",AND(COUNTIF(Taksonomi!$D$4:$D$6,G14)=1,G14&lt;&gt;E14)))),"OK","PERIKSA"))</x:f>
      </x:c>
    </x:row>
    <x:row r="15" ht="145" customHeight="1">
      <x:c r="A15" s="34" t="str">
        <x:v>1990467692370014483</x:v>
      </x:c>
      <x:c r="B15" s="34" t="str">
        <x:v>1990222341687910706</x:v>
      </x:c>
      <x:c r="C15"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5" s="34" t="str">
        <x:v>'@dosenkesmas Stop ganti kaidah keilmuan dengan sertifikasi 1-3 bulan anying</x:v>
      </x:c>
      <x:c r="E15" s="40" t="str"/>
      <x:c r="F15" s="40" t="str"/>
      <x:c r="G15" s="40" t="str"/>
      <x:c r="H15" s="40" t="str"/>
      <x:c r="I15" s="40" t="str"/>
      <x:c r="J15" s="34" t="str">
        <x:v>A2</x:v>
      </x:c>
      <x:c r="K15" s="34" t="str">
        <x:v>1.0</x:v>
      </x:c>
      <x:c r="L15" s="35" t="str">
        <x:f>IF(AND(E15="",F15="",G15="",H15="",I15=""),"",IF(OR(AND(H15="UNCLEAR",E15="",F15="",G15="",I15&lt;&gt;""),AND(H15="LABELED",COUNTIFS(Taksonomi!$A$5:$A$13,E15,Taksonomi!$B$5:$B$13,F15)=1,OR(G15="",AND(COUNTIF(Taksonomi!$D$4:$D$6,G15)=1,G15&lt;&gt;E15)))),"OK","PERIKSA"))</x:f>
      </x:c>
    </x:row>
    <x:row r="16" ht="145" customHeight="1">
      <x:c r="A16" s="34" t="str">
        <x:v>1922539767683600459</x:v>
      </x:c>
      <x:c r="B16" s="34" t="str">
        <x:v>1922428201504026792</x:v>
      </x:c>
      <x:c r="C16" s="34" t="str">
        <x:v>Diare hingga Tubuh Membiru, Gejala Korban Keracunan MBG di Bogor | #Keracunan #MakanBergiziGratis #Bogor #vjlab https://t.co/tiTaeffVjY</x:v>
      </x:c>
      <x:c r="D16" s="34" t="str">
        <x:v>'@kompascom Tenang… ada asuransinya 👍🏼
https://t.co/00PzkD34ex</x:v>
      </x:c>
      <x:c r="E16" s="40" t="str"/>
      <x:c r="F16" s="40" t="str"/>
      <x:c r="G16" s="40" t="str"/>
      <x:c r="H16" s="40" t="str"/>
      <x:c r="I16" s="40" t="str"/>
      <x:c r="J16" s="34" t="str">
        <x:v>A2</x:v>
      </x:c>
      <x:c r="K16" s="34" t="str">
        <x:v>1.0</x:v>
      </x:c>
      <x:c r="L16" s="35" t="str">
        <x:f>IF(AND(E16="",F16="",G16="",H16="",I16=""),"",IF(OR(AND(H16="UNCLEAR",E16="",F16="",G16="",I16&lt;&gt;""),AND(H16="LABELED",COUNTIFS(Taksonomi!$A$5:$A$13,E16,Taksonomi!$B$5:$B$13,F16)=1,OR(G16="",AND(COUNTIF(Taksonomi!$D$4:$D$6,G16)=1,G16&lt;&gt;E16)))),"OK","PERIKSA"))</x:f>
      </x:c>
    </x:row>
    <x:row r="17" ht="145" customHeight="1">
      <x:c r="A17" s="34" t="str">
        <x:v>1879808401640931335</x:v>
      </x:c>
      <x:c r="B17" s="34" t="str">
        <x:v>1879783141952651292</x:v>
      </x:c>
      <x:c r="C17" s="34" t="str">
        <x:v>Guru Besar Ilmu Gizi Sebut Daun Kelor Tak Bisa Gantikan Susu dalam Menu Makan Bergizi Gratis
https://t.co/uR3QX2MPHl</x:v>
      </x:c>
      <x:c r="D17" s="34" t="str">
        <x:v>'@tempodotco Susu kotak yang sering dibagi-bagikan Gibran juga tak sehat karena kandungan gizinya buruk. Ini kata ahli gizi, https://t.co/tt2Q7J4hew</x:v>
      </x:c>
      <x:c r="E17" s="40" t="str"/>
      <x:c r="F17" s="40" t="str"/>
      <x:c r="G17" s="40" t="str"/>
      <x:c r="H17" s="40" t="str"/>
      <x:c r="I17" s="40" t="str"/>
      <x:c r="J17" s="34" t="str">
        <x:v>A2</x:v>
      </x:c>
      <x:c r="K17" s="34" t="str">
        <x:v>1.0</x:v>
      </x:c>
      <x:c r="L17" s="35" t="str">
        <x:f>IF(AND(E17="",F17="",G17="",H17="",I17=""),"",IF(OR(AND(H17="UNCLEAR",E17="",F17="",G17="",I17&lt;&gt;""),AND(H17="LABELED",COUNTIFS(Taksonomi!$A$5:$A$13,E17,Taksonomi!$B$5:$B$13,F17)=1,OR(G17="",AND(COUNTIF(Taksonomi!$D$4:$D$6,G17)=1,G17&lt;&gt;E17)))),"OK","PERIKSA"))</x:f>
      </x:c>
    </x:row>
    <x:row r="18" ht="145" customHeight="1">
      <x:c r="A18" s="34" t="str">
        <x:v>1911246015778476104</x:v>
      </x:c>
      <x:c r="B18" s="34" t="str">
        <x:v>1911196549360861222</x:v>
      </x:c>
      <x:c r="C18" s="34" t="str">
        <x:v>Program MBG Wujudkan Generasi Sehat dan Cerdas
#MakanBergiziGratis https://t.co/nji95X2NzU</x:v>
      </x:c>
      <x:c r="D18" s="34" t="str">
        <x:v>'@KotaNusantara Satu langkah besar dari Prabowo buat rakyat, Program MBG nyata meningkatkan gizi dan cegah stunting</x:v>
      </x:c>
      <x:c r="E18" s="40" t="str"/>
      <x:c r="F18" s="40" t="str"/>
      <x:c r="G18" s="40" t="str"/>
      <x:c r="H18" s="40" t="str"/>
      <x:c r="I18" s="40" t="str"/>
      <x:c r="J18" s="34" t="str">
        <x:v>A2</x:v>
      </x:c>
      <x:c r="K18" s="34" t="str">
        <x:v>1.0</x:v>
      </x:c>
      <x:c r="L18" s="35" t="str">
        <x:f>IF(AND(E18="",F18="",G18="",H18="",I18=""),"",IF(OR(AND(H18="UNCLEAR",E18="",F18="",G18="",I18&lt;&gt;""),AND(H18="LABELED",COUNTIFS(Taksonomi!$A$5:$A$13,E18,Taksonomi!$B$5:$B$13,F18)=1,OR(G18="",AND(COUNTIF(Taksonomi!$D$4:$D$6,G18)=1,G18&lt;&gt;E18)))),"OK","PERIKSA"))</x:f>
      </x:c>
    </x:row>
    <x:row r="19" ht="145" customHeight="1">
      <x:c r="A19" s="34" t="str">
        <x:v>1972137962138931530</x:v>
      </x:c>
      <x:c r="B19" s="34" t="str">
        <x:v>1972104726255964224</x:v>
      </x:c>
      <x:c r="C19" s="34"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19" s="34" t="str">
        <x:v>'@IndoPopBase MBG = Makan Bergizi Gratis. Tapi dasar dr program ini aja udah salah, cuma karena ada anak yg gak bisa makan layak bukan real ngasih makan bergizi ke anak2. Ya mending lo kasih aja ke anak2 yg tiap hari gak bisa makan blok (daerah 3T misalnya) biar gak buang2 anggaran</x:v>
      </x:c>
      <x:c r="E19" s="40" t="str"/>
      <x:c r="F19" s="40" t="str"/>
      <x:c r="G19" s="40" t="str"/>
      <x:c r="H19" s="40" t="str"/>
      <x:c r="I19" s="40" t="str"/>
      <x:c r="J19" s="34" t="str">
        <x:v>A2</x:v>
      </x:c>
      <x:c r="K19" s="34" t="str">
        <x:v>1.0</x:v>
      </x:c>
      <x:c r="L19" s="35" t="str">
        <x:f>IF(AND(E19="",F19="",G19="",H19="",I19=""),"",IF(OR(AND(H19="UNCLEAR",E19="",F19="",G19="",I19&lt;&gt;""),AND(H19="LABELED",COUNTIFS(Taksonomi!$A$5:$A$13,E19,Taksonomi!$B$5:$B$13,F19)=1,OR(G19="",AND(COUNTIF(Taksonomi!$D$4:$D$6,G19)=1,G19&lt;&gt;E19)))),"OK","PERIKSA"))</x:f>
      </x:c>
    </x:row>
    <x:row r="20" ht="145" customHeight="1">
      <x:c r="A20" s="34" t="str">
        <x:v>1909904727435002096</x:v>
      </x:c>
      <x:c r="B20" s="34" t="str">
        <x:v>1909700923150287252</x:v>
      </x:c>
      <x:c r="C20" s="34" t="str">
        <x:v>Setelah libur Lebaran, 1.050 SPPG siap mengoperasikan program Makan Bergizi Gratis untuk masyarakat! Segera nikmati manfaatnya! #MakanBergiziGratis https://t.co/nhj30iHJNZ</x:v>
      </x:c>
      <x:c r="D20" s="34" t="str">
        <x:v>'@hexagrap_id Presiden yakinkan, meski banjir, jalur distribusi MBG tetap aman</x:v>
      </x:c>
      <x:c r="E20" s="40" t="str"/>
      <x:c r="F20" s="40" t="str"/>
      <x:c r="G20" s="40" t="str"/>
      <x:c r="H20" s="40" t="str"/>
      <x:c r="I20" s="40" t="str"/>
      <x:c r="J20" s="34" t="str">
        <x:v>A2</x:v>
      </x:c>
      <x:c r="K20" s="34" t="str">
        <x:v>1.0</x:v>
      </x:c>
      <x:c r="L20" s="35" t="str">
        <x:f>IF(AND(E20="",F20="",G20="",H20="",I20=""),"",IF(OR(AND(H20="UNCLEAR",E20="",F20="",G20="",I20&lt;&gt;""),AND(H20="LABELED",COUNTIFS(Taksonomi!$A$5:$A$13,E20,Taksonomi!$B$5:$B$13,F20)=1,OR(G20="",AND(COUNTIF(Taksonomi!$D$4:$D$6,G20)=1,G20&lt;&gt;E20)))),"OK","PERIKSA"))</x:f>
      </x:c>
    </x:row>
    <x:row r="21" ht="145" customHeight="1">
      <x:c r="A21" s="34" t="str">
        <x:v>1913217279317409997</x:v>
      </x:c>
      <x:c r="B21" s="34" t="str">
        <x:v>1913208811369750728</x:v>
      </x:c>
      <x:c r="C21" s="34" t="str">
        <x:v>Apa menu yang ideal untuk program makan bergizi gratis?
#TempoNanya</x:v>
      </x:c>
      <x:c r="D21" s="34" t="str">
        <x:v>'@tempodotco Udahlah Lebih Baik Kasih Ke Orang Tua biar Para ORTU yg Mengelola Makanan Bergizi gratis Jadi Tidak ada Peluang Korupsi @tempodotco</x:v>
      </x:c>
      <x:c r="E21" s="40" t="str"/>
      <x:c r="F21" s="40" t="str"/>
      <x:c r="G21" s="40" t="str"/>
      <x:c r="H21" s="40" t="str"/>
      <x:c r="I21" s="40" t="str"/>
      <x:c r="J21" s="34" t="str">
        <x:v>A2</x:v>
      </x:c>
      <x:c r="K21" s="34" t="str">
        <x:v>1.0</x:v>
      </x:c>
      <x:c r="L21" s="35" t="str">
        <x:f>IF(AND(E21="",F21="",G21="",H21="",I21=""),"",IF(OR(AND(H21="UNCLEAR",E21="",F21="",G21="",I21&lt;&gt;""),AND(H21="LABELED",COUNTIFS(Taksonomi!$A$5:$A$13,E21,Taksonomi!$B$5:$B$13,F21)=1,OR(G21="",AND(COUNTIF(Taksonomi!$D$4:$D$6,G21)=1,G21&lt;&gt;E21)))),"OK","PERIKSA"))</x:f>
      </x:c>
    </x:row>
    <x:row r="22" ht="145" customHeight="1">
      <x:c r="A22" s="34" t="str">
        <x:v>1943816884140618129</x:v>
      </x:c>
      <x:c r="B22" s="34" t="str">
        <x:v>1943613737996337300</x:v>
      </x:c>
      <x:c r="C22" s="34" t="str">
        <x:v>Badan Gizi Minta Tambahan Rp 118 Triliun untuk Makan Bergizi Gratis 2026
https://t.co/qsyk153ols</x:v>
      </x:c>
      <x:c r="D22" s="34" t="str">
        <x:v>'@tempodotco Lo kira negara punya bapak moyang lo...!!!! MBG apaan sih yg kalian banggakan. Menunya aja ga jelas. Suka keracunan. Bgst</x:v>
      </x:c>
      <x:c r="E22" s="40" t="str"/>
      <x:c r="F22" s="40" t="str"/>
      <x:c r="G22" s="40" t="str"/>
      <x:c r="H22" s="40" t="str"/>
      <x:c r="I22" s="40" t="str"/>
      <x:c r="J22" s="34" t="str">
        <x:v>A2</x:v>
      </x:c>
      <x:c r="K22" s="34" t="str">
        <x:v>1.0</x:v>
      </x:c>
      <x:c r="L22" s="35" t="str">
        <x:f>IF(AND(E22="",F22="",G22="",H22="",I22=""),"",IF(OR(AND(H22="UNCLEAR",E22="",F22="",G22="",I22&lt;&gt;""),AND(H22="LABELED",COUNTIFS(Taksonomi!$A$5:$A$13,E22,Taksonomi!$B$5:$B$13,F22)=1,OR(G22="",AND(COUNTIF(Taksonomi!$D$4:$D$6,G22)=1,G22&lt;&gt;E22)))),"OK","PERIKSA"))</x:f>
      </x:c>
    </x:row>
    <x:row r="23" ht="145" customHeight="1">
      <x:c r="A23" s="34" t="str">
        <x:v>2009302969498628291</x:v>
      </x:c>
      <x:c r="B23" s="34" t="str">
        <x:v>2009100069522559063</x:v>
      </x:c>
      <x:c r="C23" s="34"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3" s="34" t="str">
        <x:v>'@karirfess jasa kirim menfess</x:v>
      </x:c>
      <x:c r="E23" s="40" t="str"/>
      <x:c r="F23" s="40" t="str"/>
      <x:c r="G23" s="40" t="str"/>
      <x:c r="H23" s="40" t="str"/>
      <x:c r="I23" s="40" t="str"/>
      <x:c r="J23" s="34" t="str">
        <x:v>A2</x:v>
      </x:c>
      <x:c r="K23" s="34" t="str">
        <x:v>1.0</x:v>
      </x:c>
      <x:c r="L23" s="35" t="str">
        <x:f>IF(AND(E23="",F23="",G23="",H23="",I23=""),"",IF(OR(AND(H23="UNCLEAR",E23="",F23="",G23="",I23&lt;&gt;""),AND(H23="LABELED",COUNTIFS(Taksonomi!$A$5:$A$13,E23,Taksonomi!$B$5:$B$13,F23)=1,OR(G23="",AND(COUNTIF(Taksonomi!$D$4:$D$6,G23)=1,G23&lt;&gt;E23)))),"OK","PERIKSA"))</x:f>
      </x:c>
    </x:row>
    <x:row r="24" ht="145" customHeight="1">
      <x:c r="A24" s="34" t="str">
        <x:v>1867167616374387152</x:v>
      </x:c>
      <x:c r="B24" s="34" t="str">
        <x:v>1867110231421096084</x:v>
      </x:c>
      <x:c r="C24" s="34" t="str">
        <x:v>Kritik Makan Bergizi Gratis Cuma Rp10 Ribu, Megawati: Dapete Opo Tho Yo?
https://t.co/vqbM6yKl7n</x:v>
      </x:c>
      <x:c r="D24" s="34" t="str">
        <x:v>'@tempodotco 10 tahun berkuasa @PDI_Perjuangan dapet apa negara ini ?</x:v>
      </x:c>
      <x:c r="E24" s="40" t="str"/>
      <x:c r="F24" s="40" t="str"/>
      <x:c r="G24" s="40" t="str"/>
      <x:c r="H24" s="40" t="str"/>
      <x:c r="I24" s="40" t="str"/>
      <x:c r="J24" s="34" t="str">
        <x:v>A2</x:v>
      </x:c>
      <x:c r="K24" s="34" t="str">
        <x:v>1.0</x:v>
      </x:c>
      <x:c r="L24" s="35" t="str">
        <x:f>IF(AND(E24="",F24="",G24="",H24="",I24=""),"",IF(OR(AND(H24="UNCLEAR",E24="",F24="",G24="",I24&lt;&gt;""),AND(H24="LABELED",COUNTIFS(Taksonomi!$A$5:$A$13,E24,Taksonomi!$B$5:$B$13,F24)=1,OR(G24="",AND(COUNTIF(Taksonomi!$D$4:$D$6,G24)=1,G24&lt;&gt;E24)))),"OK","PERIKSA"))</x:f>
      </x:c>
    </x:row>
    <x:row r="25" ht="145" customHeight="1">
      <x:c r="A25" s="34" t="str">
        <x:v>2026988083963630061</x:v>
      </x:c>
      <x:c r="B25" s="34" t="str">
        <x:v>2026802711891726744</x:v>
      </x:c>
      <x:c r="C25" s="34" t="str">
        <x:v>⚠️ Kabar Keracunan Embege! ⚠️
Silakan sebar luaskan! Rabu, 25 Februari 2026. Sebanyak 23 anak-anak tak berdosa telah diracun oleh negara lewat proyek embege dengan perencanaan yang SUPER MENTAH.
Hingga saat ini, anak-anak yang terdaftar sebagai murid di SDN Karang Mekar, Cimahi itu sedang dirawat secara intensif di RS Cibabat. Gejala yang mereka alami adalah pusing, mual, nyeri perut, hingga muntah-muntah.
"Pihak SPPG udah ngasih keterangan sama nerima konsekuensinya Min?"
Tentu saja, seperti biasa, BELUM.
Lanjutkan terus proyek kotor super prioritasmu ini @prabowo, @Gerindra, tanpa ada evaluasi dan tindakan tegas sedikitpun, dan kami harap kalian beserta kroni kalian akan mendapatkan balasan 100x lipat dari derita anak-anak ini. 🫵🏻🙂</x:v>
      </x:c>
      <x:c r="D25" s="34" t="str">
        <x:v>'@menuembegejelek Yang penting CUAN dan korupsi MASUK REKENING</x:v>
      </x:c>
      <x:c r="E25" s="40" t="str"/>
      <x:c r="F25" s="40" t="str"/>
      <x:c r="G25" s="40" t="str"/>
      <x:c r="H25" s="40" t="str"/>
      <x:c r="I25" s="40" t="str"/>
      <x:c r="J25" s="34" t="str">
        <x:v>A2</x:v>
      </x:c>
      <x:c r="K25" s="34" t="str">
        <x:v>1.0</x:v>
      </x:c>
      <x:c r="L25" s="35" t="str">
        <x:f>IF(AND(E25="",F25="",G25="",H25="",I25=""),"",IF(OR(AND(H25="UNCLEAR",E25="",F25="",G25="",I25&lt;&gt;""),AND(H25="LABELED",COUNTIFS(Taksonomi!$A$5:$A$13,E25,Taksonomi!$B$5:$B$13,F25)=1,OR(G25="",AND(COUNTIF(Taksonomi!$D$4:$D$6,G25)=1,G25&lt;&gt;E25)))),"OK","PERIKSA"))</x:f>
      </x:c>
    </x:row>
    <x:row r="26" ht="145" customHeight="1">
      <x:c r="A26" s="34" t="str">
        <x:v>1815646072414544154</x:v>
      </x:c>
      <x:c r="B26" s="34" t="str">
        <x:v>1815614717593038908</x:v>
      </x:c>
      <x:c r="C26" s="34" t="str">
        <x:v>Gibran ke Bogor Lihat Uji Coba Makan Bergizi Gratis, Makanan Diantar Lewat Gojek https://t.co/2uFsEotkUJ #TempoNasional</x:v>
      </x:c>
      <x:c r="D26" s="34" t="str">
        <x:v>'@tempodotco Nasi putih, ayam goreng, sayur, buah dan susu, diantar gojek.
Rp 7.500? 🤔🤔🤔 https://t.co/Qy9pQgMoP8</x:v>
      </x:c>
      <x:c r="E26" s="40" t="str"/>
      <x:c r="F26" s="40" t="str"/>
      <x:c r="G26" s="40" t="str"/>
      <x:c r="H26" s="40" t="str"/>
      <x:c r="I26" s="40" t="str"/>
      <x:c r="J26" s="34" t="str">
        <x:v>A2</x:v>
      </x:c>
      <x:c r="K26" s="34" t="str">
        <x:v>1.0</x:v>
      </x:c>
      <x:c r="L26" s="35" t="str">
        <x:f>IF(AND(E26="",F26="",G26="",H26="",I26=""),"",IF(OR(AND(H26="UNCLEAR",E26="",F26="",G26="",I26&lt;&gt;""),AND(H26="LABELED",COUNTIFS(Taksonomi!$A$5:$A$13,E26,Taksonomi!$B$5:$B$13,F26)=1,OR(G26="",AND(COUNTIF(Taksonomi!$D$4:$D$6,G26)=1,G26&lt;&gt;E26)))),"OK","PERIKSA"))</x:f>
      </x:c>
    </x:row>
    <x:row r="27" ht="145" customHeight="1">
      <x:c r="A27" s="34" t="str">
        <x:v>1818942178170970173</x:v>
      </x:c>
      <x:c r="B27" s="34" t="str">
        <x:v>1818890941253538185</x:v>
      </x:c>
      <x:c r="C27" s="34" t="str">
        <x:v>Gibran Uji Coba Makan Bergizi Gratis di Surabaya, Anggaran Rp 15 Ribu..🍱
#TempoFoto https://t.co/ufl3iPsfyZ</x:v>
      </x:c>
      <x:c r="D27" s="34" t="str">
        <x:v>'@tempodotco Calon Wapres yg cuma 1 program makan gratis. Buatlah program yg banyak manfaat buat rakyat. Buka lapangan kerja untuk kurangi pengangguran. Kamu sih enak dapat warisan? Lha mereka anak2 muda di luarsana?</x:v>
      </x:c>
      <x:c r="E27" s="40" t="str"/>
      <x:c r="F27" s="40" t="str"/>
      <x:c r="G27" s="40" t="str"/>
      <x:c r="H27" s="40" t="str"/>
      <x:c r="I27" s="40" t="str"/>
      <x:c r="J27" s="34" t="str">
        <x:v>A2</x:v>
      </x:c>
      <x:c r="K27" s="34" t="str">
        <x:v>1.0</x:v>
      </x:c>
      <x:c r="L27" s="35" t="str">
        <x:f>IF(AND(E27="",F27="",G27="",H27="",I27=""),"",IF(OR(AND(H27="UNCLEAR",E27="",F27="",G27="",I27&lt;&gt;""),AND(H27="LABELED",COUNTIFS(Taksonomi!$A$5:$A$13,E27,Taksonomi!$B$5:$B$13,F27)=1,OR(G27="",AND(COUNTIF(Taksonomi!$D$4:$D$6,G27)=1,G27&lt;&gt;E27)))),"OK","PERIKSA"))</x:f>
      </x:c>
    </x:row>
    <x:row r="28" ht="145" customHeight="1">
      <x:c r="A28" s="34" t="str">
        <x:v>1891022196295844171</x:v>
      </x:c>
      <x:c r="B28" s="34" t="str">
        <x:v>1891006572928602218</x:v>
      </x:c>
      <x:c r="C28" s="34" t="str">
        <x:v>Presiden Prabowo Subianto mengatakan, pemerintah terpaksa menggunakan dana hasil efisiensi anggaran sebesar Rp 24 triliun untuk mendukung program Makan Bergizi Gratis (MBG). | #Prabowo #MakanSiangGratis #EfisiensiAnggaran 
https://t.co/6db6dqQkWE</x:v>
      </x:c>
      <x:c r="D28" s="34" t="str">
        <x:v>'@kompascom Terpaksa, katanya.
Apa yang memaksa? Keadaan.
Siapa yg menciptakan keadaan memaksa? Dirinya sendiri.
24 T itu belom untuk semua anak se tanah air. Berapa tambahannya utk semua anak?
Jadi sebetulnya tidak gratis. Dan dengan gizi ala kadarnya.
NDASMU!</x:v>
      </x:c>
      <x:c r="E28" s="40" t="str"/>
      <x:c r="F28" s="40" t="str"/>
      <x:c r="G28" s="40" t="str"/>
      <x:c r="H28" s="40" t="str"/>
      <x:c r="I28" s="40" t="str"/>
      <x:c r="J28" s="34" t="str">
        <x:v>A2</x:v>
      </x:c>
      <x:c r="K28" s="34" t="str">
        <x:v>1.0</x:v>
      </x:c>
      <x:c r="L28" s="35" t="str">
        <x:f>IF(AND(E28="",F28="",G28="",H28="",I28=""),"",IF(OR(AND(H28="UNCLEAR",E28="",F28="",G28="",I28&lt;&gt;""),AND(H28="LABELED",COUNTIFS(Taksonomi!$A$5:$A$13,E28,Taksonomi!$B$5:$B$13,F28)=1,OR(G28="",AND(COUNTIF(Taksonomi!$D$4:$D$6,G28)=1,G28&lt;&gt;E28)))),"OK","PERIKSA"))</x:f>
      </x:c>
    </x:row>
    <x:row r="29" ht="145" customHeight="1">
      <x:c r="A29" s="34" t="str">
        <x:v>1914995470918889675</x:v>
      </x:c>
      <x:c r="B29" s="34" t="str">
        <x:v>1914987076363452886</x:v>
      </x:c>
      <x:c r="C29" s="34" t="str">
        <x:v>Prabowo Belum Buka Kesempatan Negara Lain Pelajari Makan Bergizi Gratis
https://t.co/zlhnOO0TT0</x:v>
      </x:c>
      <x:c r="D29" s="34" t="str">
        <x:v>'@tempodotco Perlu dibawa ke psikiater deh kyknya presiden kita. Suka halu soalnya. Bilangnya banyak negara lain yang mau belajar soal MBG dgn Indonesia. Lah keracunan yang ada anak orang 🤣</x:v>
      </x:c>
      <x:c r="E29" s="40" t="str"/>
      <x:c r="F29" s="40" t="str"/>
      <x:c r="G29" s="40" t="str"/>
      <x:c r="H29" s="40" t="str"/>
      <x:c r="I29" s="40" t="str"/>
      <x:c r="J29" s="34" t="str">
        <x:v>A2</x:v>
      </x:c>
      <x:c r="K29" s="34" t="str">
        <x:v>1.0</x:v>
      </x:c>
      <x:c r="L29" s="35" t="str">
        <x:f>IF(AND(E29="",F29="",G29="",H29="",I29=""),"",IF(OR(AND(H29="UNCLEAR",E29="",F29="",G29="",I29&lt;&gt;""),AND(H29="LABELED",COUNTIFS(Taksonomi!$A$5:$A$13,E29,Taksonomi!$B$5:$B$13,F29)=1,OR(G29="",AND(COUNTIF(Taksonomi!$D$4:$D$6,G29)=1,G29&lt;&gt;E29)))),"OK","PERIKSA"))</x:f>
      </x:c>
    </x:row>
    <x:row r="30" ht="145" customHeight="1">
      <x:c r="A30" s="34" t="str">
        <x:v>1974180372448698830</x:v>
      </x:c>
      <x:c r="B30" s="34" t="str">
        <x:v>1974086585424752775</x:v>
      </x:c>
      <x:c r="C30"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30" s="34" t="str">
        <x:v>'@kompascom Ini ham yg harus dilindungi kan @KomnasHAM .</x:v>
      </x:c>
      <x:c r="E30" s="40" t="str"/>
      <x:c r="F30" s="40" t="str"/>
      <x:c r="G30" s="40" t="str"/>
      <x:c r="H30" s="40" t="str"/>
      <x:c r="I30" s="40" t="str"/>
      <x:c r="J30" s="34" t="str">
        <x:v>A2</x:v>
      </x:c>
      <x:c r="K30" s="34" t="str">
        <x:v>1.0</x:v>
      </x:c>
      <x:c r="L30" s="35" t="str">
        <x:f>IF(AND(E30="",F30="",G30="",H30="",I30=""),"",IF(OR(AND(H30="UNCLEAR",E30="",F30="",G30="",I30&lt;&gt;""),AND(H30="LABELED",COUNTIFS(Taksonomi!$A$5:$A$13,E30,Taksonomi!$B$5:$B$13,F30)=1,OR(G30="",AND(COUNTIF(Taksonomi!$D$4:$D$6,G30)=1,G30&lt;&gt;E30)))),"OK","PERIKSA"))</x:f>
      </x:c>
    </x:row>
    <x:row r="31" ht="145" customHeight="1">
      <x:c r="A31" s="34" t="str">
        <x:v>1968862932860592483</x:v>
      </x:c>
      <x:c r="B31" s="34" t="str">
        <x:v>1968670587078713482</x:v>
      </x:c>
      <x:c r="C31" s="34" t="str">
        <x:v>Pada video berdurasi 1 menit 17 detik itu, salah satu wali murid atas nama M Zaini menyampaikan permintaan maaf sambil membaca teks di ponsel.  
Baca di sini: https://t.co/JheGwYt1uY
/ #MakanBergiziGratis https://t.co/fmqlaL6bg8</x:v>
      </x:c>
      <x:c r="D31" s="34" t="str">
        <x:v>'@kompascom Gini gini, gw bnran bingung. Kalau pun bkn krn MBG, apa perlu didampingi TNI @Puspen_TNI atau @DivHumas_Polri? Kok tugas kalian udh di luar batas ya? Ngurusin pertanian, farmasi, jabatan sipil, siber sipil, skrg MBG? Bsk jdi apa nih? Kuli bangunan, guru, presiden?</x:v>
      </x:c>
      <x:c r="E31" s="40" t="str"/>
      <x:c r="F31" s="40" t="str"/>
      <x:c r="G31" s="40" t="str"/>
      <x:c r="H31" s="40" t="str"/>
      <x:c r="I31" s="40" t="str"/>
      <x:c r="J31" s="34" t="str">
        <x:v>A2</x:v>
      </x:c>
      <x:c r="K31" s="34" t="str">
        <x:v>1.0</x:v>
      </x:c>
      <x:c r="L31" s="35" t="str">
        <x:f>IF(AND(E31="",F31="",G31="",H31="",I31=""),"",IF(OR(AND(H31="UNCLEAR",E31="",F31="",G31="",I31&lt;&gt;""),AND(H31="LABELED",COUNTIFS(Taksonomi!$A$5:$A$13,E31,Taksonomi!$B$5:$B$13,F31)=1,OR(G31="",AND(COUNTIF(Taksonomi!$D$4:$D$6,G31)=1,G31&lt;&gt;E31)))),"OK","PERIKSA"))</x:f>
      </x:c>
    </x:row>
    <x:row r="32" ht="145" customHeight="1">
      <x:c r="A32" s="34" t="str">
        <x:v>2019928264400318932</x:v>
      </x:c>
      <x:c r="B32" s="34" t="str">
        <x:v>2019440648877658550</x:v>
      </x:c>
      <x:c r="C32" s="34" t="str">
        <x:v>Wkwkwwkwkw jabingan menu EMBEGE MODEL OPO IKI COOOOKK. Malah koyok bar jajan seko warung meduroo njirrr. SPPGne over confidence tenann bajilaaakk https://t.co/OA8zlBZtdB</x:v>
      </x:c>
      <x:c r="D32" s="34" t="str">
        <x:v>'@menuembegejelek menu mbg di sekolah adek we tekwan masa???</x:v>
      </x:c>
      <x:c r="E32" s="40" t="str"/>
      <x:c r="F32" s="40" t="str"/>
      <x:c r="G32" s="40" t="str"/>
      <x:c r="H32" s="40" t="str"/>
      <x:c r="I32" s="40" t="str"/>
      <x:c r="J32" s="34" t="str">
        <x:v>A2</x:v>
      </x:c>
      <x:c r="K32" s="34" t="str">
        <x:v>1.0</x:v>
      </x:c>
      <x:c r="L32" s="35" t="str">
        <x:f>IF(AND(E32="",F32="",G32="",H32="",I32=""),"",IF(OR(AND(H32="UNCLEAR",E32="",F32="",G32="",I32&lt;&gt;""),AND(H32="LABELED",COUNTIFS(Taksonomi!$A$5:$A$13,E32,Taksonomi!$B$5:$B$13,F32)=1,OR(G32="",AND(COUNTIF(Taksonomi!$D$4:$D$6,G32)=1,G32&lt;&gt;E32)))),"OK","PERIKSA"))</x:f>
      </x:c>
    </x:row>
    <x:row r="33" ht="145" customHeight="1">
      <x:c r="A33" s="34" t="str">
        <x:v>1925878559966454067</x:v>
      </x:c>
      <x:c r="B33" s="34" t="str">
        <x:v>1925836489532858660</x:v>
      </x:c>
      <x:c r="C33" s="34" t="str">
        <x:v>Korban Keracunan MBG Lebih Besar dari Klaim Prabowo
https://t.co/IvOFEWz7o5</x:v>
      </x:c>
      <x:c r="D33" s="34" t="str">
        <x:v>'@tempodotco Itu hanya angka</x:v>
      </x:c>
      <x:c r="E33" s="40" t="str"/>
      <x:c r="F33" s="40" t="str"/>
      <x:c r="G33" s="40" t="str"/>
      <x:c r="H33" s="40" t="str"/>
      <x:c r="I33" s="40" t="str"/>
      <x:c r="J33" s="34" t="str">
        <x:v>A2</x:v>
      </x:c>
      <x:c r="K33" s="34" t="str">
        <x:v>1.0</x:v>
      </x:c>
      <x:c r="L33" s="35" t="str">
        <x:f>IF(AND(E33="",F33="",G33="",H33="",I33=""),"",IF(OR(AND(H33="UNCLEAR",E33="",F33="",G33="",I33&lt;&gt;""),AND(H33="LABELED",COUNTIFS(Taksonomi!$A$5:$A$13,E33,Taksonomi!$B$5:$B$13,F33)=1,OR(G33="",AND(COUNTIF(Taksonomi!$D$4:$D$6,G33)=1,G33&lt;&gt;E33)))),"OK","PERIKSA"))</x:f>
      </x:c>
    </x:row>
    <x:row r="34" ht="145" customHeight="1">
      <x:c r="A34" s="34" t="str">
        <x:v>1919981788807758105</x:v>
      </x:c>
      <x:c r="B34" s="34" t="str">
        <x:v>1919618563968586130</x:v>
      </x:c>
      <x:c r="C34" s="34" t="str">
        <x:v>Presiden Prabowo Subianto mengklaim angka keracunan program makan bergizi gratis lebih kecil dibandingkan penerima manfaatnya. 
Angka kasus keracunan makanan bergizi sekitar 200 dari 3 juta penerima manfaat.
#Tempodotco #Prabowo #MBG https://t.co/xu9aGIeiZv</x:v>
      </x:c>
      <x:c r="D34" s="34" t="str">
        <x:v>'@tempodotco Masih ada yg keracunan kok dibilang berhasil. Kalo di itung pakai angka emang 99,99% berhasil tapi itu orang keracunan loh masih aj d bilang angka keberhasilannya tinggi</x:v>
      </x:c>
      <x:c r="E34" s="40" t="str"/>
      <x:c r="F34" s="40" t="str"/>
      <x:c r="G34" s="40" t="str"/>
      <x:c r="H34" s="40" t="str"/>
      <x:c r="I34" s="40" t="str"/>
      <x:c r="J34" s="34" t="str">
        <x:v>A2</x:v>
      </x:c>
      <x:c r="K34" s="34" t="str">
        <x:v>1.0</x:v>
      </x:c>
      <x:c r="L34" s="35" t="str">
        <x:f>IF(AND(E34="",F34="",G34="",H34="",I34=""),"",IF(OR(AND(H34="UNCLEAR",E34="",F34="",G34="",I34&lt;&gt;""),AND(H34="LABELED",COUNTIFS(Taksonomi!$A$5:$A$13,E34,Taksonomi!$B$5:$B$13,F34)=1,OR(G34="",AND(COUNTIF(Taksonomi!$D$4:$D$6,G34)=1,G34&lt;&gt;E34)))),"OK","PERIKSA"))</x:f>
      </x:c>
    </x:row>
    <x:row r="35" ht="145" customHeight="1">
      <x:c r="A35" s="34" t="str">
        <x:v>1862724078072950845</x:v>
      </x:c>
      <x:c r="B35" s="34" t="str">
        <x:v>1862466185633452055</x:v>
      </x:c>
      <x:c r="C35" s="34" t="str">
        <x:v>Prabowo sebut anggaran makan bergizi gratis Rp 10.000 per anak dan ibu hamil, kira-kira apa menunya?
#TempoNanya</x:v>
      </x:c>
      <x:c r="D35" s="34" t="str">
        <x:v>'@tempodotco Nasi, ayam (masih bentuk telor), sapi (dalam bentuk penyedap), sayur (toge penelitian)</x:v>
      </x:c>
      <x:c r="E35" s="40" t="str"/>
      <x:c r="F35" s="40" t="str"/>
      <x:c r="G35" s="40" t="str"/>
      <x:c r="H35" s="40" t="str"/>
      <x:c r="I35" s="40" t="str"/>
      <x:c r="J35" s="34" t="str">
        <x:v>A2</x:v>
      </x:c>
      <x:c r="K35" s="34" t="str">
        <x:v>1.0</x:v>
      </x:c>
      <x:c r="L35" s="35" t="str">
        <x:f>IF(AND(E35="",F35="",G35="",H35="",I35=""),"",IF(OR(AND(H35="UNCLEAR",E35="",F35="",G35="",I35&lt;&gt;""),AND(H35="LABELED",COUNTIFS(Taksonomi!$A$5:$A$13,E35,Taksonomi!$B$5:$B$13,F35)=1,OR(G35="",AND(COUNTIF(Taksonomi!$D$4:$D$6,G35)=1,G35&lt;&gt;E35)))),"OK","PERIKSA"))</x:f>
      </x:c>
    </x:row>
    <x:row r="36" ht="145" customHeight="1">
      <x:c r="A36" s="34" t="str">
        <x:v>1926307697332199654</x:v>
      </x:c>
      <x:c r="B36" s="34" t="str">
        <x:v>1925943469618413785</x:v>
      </x:c>
      <x:c r="C36" s="34" t="str">
        <x:v>malem malem nangisin trend "so the winner takes it all" SEDIH BGT ANJIRRR 💔💔💔💔 BILANGIN KE PEMERINTAH, HARUSNYA TUH YANG GRATIS TUH PENDIDIKAN, BUKAN MAKAN BERGIZI GRATIS :( https://t.co/WJGvHGGGTF</x:v>
      </x:c>
      <x:c r="D36" s="34" t="str">
        <x:v>'@haeshale Sampahnya itu, ada yang komen "kita butuh pendidikan gratis, bukan makan gratis" langsung diserang bajer-bajernya anjjj. Katanya "lebih penting gizi, dan kalo ga ada gizi kalian ga bakal bisa mikir" bangsattt, lu liat makanannya anjir, bergizi kagak beracun iya.</x:v>
      </x:c>
      <x:c r="E36" s="40" t="str"/>
      <x:c r="F36" s="40" t="str"/>
      <x:c r="G36" s="40" t="str"/>
      <x:c r="H36" s="40" t="str"/>
      <x:c r="I36" s="40" t="str"/>
      <x:c r="J36" s="34" t="str">
        <x:v>A2</x:v>
      </x:c>
      <x:c r="K36" s="34" t="str">
        <x:v>1.0</x:v>
      </x:c>
      <x:c r="L36" s="35" t="str">
        <x:f>IF(AND(E36="",F36="",G36="",H36="",I36=""),"",IF(OR(AND(H36="UNCLEAR",E36="",F36="",G36="",I36&lt;&gt;""),AND(H36="LABELED",COUNTIFS(Taksonomi!$A$5:$A$13,E36,Taksonomi!$B$5:$B$13,F36)=1,OR(G36="",AND(COUNTIF(Taksonomi!$D$4:$D$6,G36)=1,G36&lt;&gt;E36)))),"OK","PERIKSA"))</x:f>
      </x:c>
    </x:row>
    <x:row r="37" ht="145" customHeight="1">
      <x:c r="A37" s="34" t="str">
        <x:v>2014332913949737182</x:v>
      </x:c>
      <x:c r="B37" s="34" t="str">
        <x:v>2014214195659899161</x:v>
      </x:c>
      <x:c r="C37" s="34" t="str">
        <x:v>Masa katanya anak yang putus sekolah juga akan dapat MBG???? wkwkwkwkwkwkwkkwkw bukannya bantu dilanjutin sekolahnya jir gmn sih ini gw yg gila apa mereka yang gila wkwkwkwkwkw</x:v>
      </x:c>
      <x:c r="D37" s="34" t="str">
        <x:v>'@kaptenAmercia korupsi berkedok kasi gizi🙏🏻</x:v>
      </x:c>
      <x:c r="E37" s="40" t="str"/>
      <x:c r="F37" s="40" t="str"/>
      <x:c r="G37" s="40" t="str"/>
      <x:c r="H37" s="40" t="str"/>
      <x:c r="I37" s="40" t="str"/>
      <x:c r="J37" s="34" t="str">
        <x:v>A2</x:v>
      </x:c>
      <x:c r="K37" s="34" t="str">
        <x:v>1.0</x:v>
      </x:c>
      <x:c r="L37" s="35" t="str">
        <x:f>IF(AND(E37="",F37="",G37="",H37="",I37=""),"",IF(OR(AND(H37="UNCLEAR",E37="",F37="",G37="",I37&lt;&gt;""),AND(H37="LABELED",COUNTIFS(Taksonomi!$A$5:$A$13,E37,Taksonomi!$B$5:$B$13,F37)=1,OR(G37="",AND(COUNTIF(Taksonomi!$D$4:$D$6,G37)=1,G37&lt;&gt;E37)))),"OK","PERIKSA"))</x:f>
      </x:c>
    </x:row>
    <x:row r="38" ht="145" customHeight="1">
      <x:c r="A38" s="34" t="str">
        <x:v>1876486546226036875</x:v>
      </x:c>
      <x:c r="B38" s="34" t="str">
        <x:v>1876482643648200838</x:v>
      </x:c>
      <x:c r="C38" s="34" t="str">
        <x:v>Istana Akui Ada Daerah Pakai Uang Pribadi Prabowo untuk Makan Bergizi Gratis
https://t.co/L8TltRSHDd</x:v>
      </x:c>
      <x:c r="D38" s="34" t="str">
        <x:v>'@tempodotco Harus nya bisa jelaskan rencana program dan pelaksanaannya seperti apa?
Termasuk dana talangan seperti ini sudah bisa dijadwalkan, mungkin bisa keluarkan inpres atau banpres dulu atau apapun namanya
Tapi harus jelaskan dulu rencana kerjanya
Ini urusan negara, bukan pribadi</x:v>
      </x:c>
      <x:c r="E38" s="40" t="str"/>
      <x:c r="F38" s="40" t="str"/>
      <x:c r="G38" s="40" t="str"/>
      <x:c r="H38" s="40" t="str"/>
      <x:c r="I38" s="40" t="str"/>
      <x:c r="J38" s="34" t="str">
        <x:v>A2</x:v>
      </x:c>
      <x:c r="K38" s="34" t="str">
        <x:v>1.0</x:v>
      </x:c>
      <x:c r="L38" s="35" t="str">
        <x:f>IF(AND(E38="",F38="",G38="",H38="",I38=""),"",IF(OR(AND(H38="UNCLEAR",E38="",F38="",G38="",I38&lt;&gt;""),AND(H38="LABELED",COUNTIFS(Taksonomi!$A$5:$A$13,E38,Taksonomi!$B$5:$B$13,F38)=1,OR(G38="",AND(COUNTIF(Taksonomi!$D$4:$D$6,G38)=1,G38&lt;&gt;E38)))),"OK","PERIKSA"))</x:f>
      </x:c>
    </x:row>
    <x:row r="39" ht="145" customHeight="1">
      <x:c r="A39" s="34" t="str">
        <x:v>2025762288016507017</x:v>
      </x:c>
      <x:c r="B39" s="34" t="str">
        <x:v>2025423174159253552</x:v>
      </x:c>
      <x:c r="C39" s="34"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39" s="34" t="str">
        <x:v>'@Sammi86Pilang kalian tuh yg di kota, yg udah ngerasain pendidikan gratis easy access, seegois itu sampe ga mikirin yg pelosok negeri. noh kemaren ada yg nawarin pendidikan gratis, malah lu pada pilih makan gratis. perut mulu duluin ampe buncit noh kek oknum aparat.</x:v>
      </x:c>
      <x:c r="E39" s="40" t="str"/>
      <x:c r="F39" s="40" t="str"/>
      <x:c r="G39" s="40" t="str"/>
      <x:c r="H39" s="40" t="str"/>
      <x:c r="I39" s="40" t="str"/>
      <x:c r="J39" s="34" t="str">
        <x:v>A2</x:v>
      </x:c>
      <x:c r="K39" s="34" t="str">
        <x:v>1.0</x:v>
      </x:c>
      <x:c r="L39" s="35" t="str">
        <x:f>IF(AND(E39="",F39="",G39="",H39="",I39=""),"",IF(OR(AND(H39="UNCLEAR",E39="",F39="",G39="",I39&lt;&gt;""),AND(H39="LABELED",COUNTIFS(Taksonomi!$A$5:$A$13,E39,Taksonomi!$B$5:$B$13,F39)=1,OR(G39="",AND(COUNTIF(Taksonomi!$D$4:$D$6,G39)=1,G39&lt;&gt;E39)))),"OK","PERIKSA"))</x:f>
      </x:c>
    </x:row>
    <x:row r="40" ht="145" customHeight="1">
      <x:c r="A40" s="34" t="str">
        <x:v>1914276022876610955</x:v>
      </x:c>
      <x:c r="B40" s="34" t="str">
        <x:v>1914232065618559152</x:v>
      </x:c>
      <x:c r="C40" s="34" t="str">
        <x:v>Dugaan Penggelembungan MBG
Program Makan Bergizi Gratis menggunakan sistem reimbursement. Rentan digelembungkan.
Simak selengkapnya Program Bocor Alus Politik di Channel Youtube Tempodotco dan Spotify
#BocorAlusPolitik #PodcastBAP #PodcastTempo https://t.co/EUkUi8QDRY</x:v>
      </x:c>
      <x:c r="D40" s="34" t="str">
        <x:v>'@tempodotco Kita tidak boleh menunda, Lanjutkan MBG, namun perbaiki sistem supaya lebih efisien dan terhindar dari potensi penggelembungan anggaran yang bisa merusak kredibilitas program ini.</x:v>
      </x:c>
      <x:c r="E40" s="40" t="str"/>
      <x:c r="F40" s="40" t="str"/>
      <x:c r="G40" s="40" t="str"/>
      <x:c r="H40" s="40" t="str"/>
      <x:c r="I40" s="40" t="str"/>
      <x:c r="J40" s="34" t="str">
        <x:v>A2</x:v>
      </x:c>
      <x:c r="K40" s="34" t="str">
        <x:v>1.0</x:v>
      </x:c>
      <x:c r="L40" s="35" t="str">
        <x:f>IF(AND(E40="",F40="",G40="",H40="",I40=""),"",IF(OR(AND(H40="UNCLEAR",E40="",F40="",G40="",I40&lt;&gt;""),AND(H40="LABELED",COUNTIFS(Taksonomi!$A$5:$A$13,E40,Taksonomi!$B$5:$B$13,F40)=1,OR(G40="",AND(COUNTIF(Taksonomi!$D$4:$D$6,G40)=1,G40&lt;&gt;E40)))),"OK","PERIKSA"))</x:f>
      </x:c>
    </x:row>
    <x:row r="41" ht="145" customHeight="1">
      <x:c r="A41" s="34" t="str">
        <x:v>2011033539845005711</x:v>
      </x:c>
      <x:c r="B41" s="34" t="str">
        <x:v>2010970065609359372</x:v>
      </x:c>
      <x:c r="C41" s="34" t="str">
        <x:v>Prabowo mengklaim proyek MBG sebagai salah satu keberhasilannya.
#Tempodotco https://t.co/i3flDy1oeb</x:v>
      </x:c>
      <x:c r="D41" s="34" t="str">
        <x:v>Kalau yang dibanggakan cuma banyak-banyakan jumlah penerima, Anda jalanin program perbaikan gizi, atau perusahaan kurir? Sekelas pemerintahan negara besar koq masih ngitung output bukan outcome? Gimana rasio cost vs manfaat? Peningkatan kualitas gizi? Rata-rata kualitas makanan terkirim? Berapa banyak dikonsumsi vs dibuang? Banyak metrics yang gak sekedar lucu-lucuan yang bisa dipakai.</x:v>
      </x:c>
      <x:c r="E41" s="40" t="str"/>
      <x:c r="F41" s="40" t="str"/>
      <x:c r="G41" s="40" t="str"/>
      <x:c r="H41" s="40" t="str"/>
      <x:c r="I41" s="40" t="str"/>
      <x:c r="J41" s="34" t="str">
        <x:v>A2</x:v>
      </x:c>
      <x:c r="K41" s="34" t="str">
        <x:v>1.0</x:v>
      </x:c>
      <x:c r="L41" s="35" t="str">
        <x:f>IF(AND(E41="",F41="",G41="",H41="",I41=""),"",IF(OR(AND(H41="UNCLEAR",E41="",F41="",G41="",I41&lt;&gt;""),AND(H41="LABELED",COUNTIFS(Taksonomi!$A$5:$A$13,E41,Taksonomi!$B$5:$B$13,F41)=1,OR(G41="",AND(COUNTIF(Taksonomi!$D$4:$D$6,G41)=1,G41&lt;&gt;E41)))),"OK","PERIKSA"))</x:f>
      </x:c>
    </x:row>
    <x:row r="42" ht="145" customHeight="1">
      <x:c r="A42" s="34" t="str">
        <x:v>1876179192460751282</x:v>
      </x:c>
      <x:c r="B42" s="34" t="str">
        <x:v>1876127805462696292</x:v>
      </x:c>
      <x:c r="C42" s="34" t="str">
        <x:v>Budi Arie Tinjau Dapur Makan Bergizi Gratis: Ada Ayam Teriyaki, Baunya Enak
https://t.co/N1MkDDljn9</x:v>
      </x:c>
      <x:c r="D42" s="34" t="str">
        <x:v>'@tempodotco Kenapa uji cobanya tidak di daerah pelosok yg jauh dari pantauan pusat Pak @prabowo  sy yakin yg di daerah lebih membutuhkan</x:v>
      </x:c>
      <x:c r="E42" s="40" t="str"/>
      <x:c r="F42" s="40" t="str"/>
      <x:c r="G42" s="40" t="str"/>
      <x:c r="H42" s="40" t="str"/>
      <x:c r="I42" s="40" t="str"/>
      <x:c r="J42" s="34" t="str">
        <x:v>A2</x:v>
      </x:c>
      <x:c r="K42" s="34" t="str">
        <x:v>1.0</x:v>
      </x:c>
      <x:c r="L42" s="35" t="str">
        <x:f>IF(AND(E42="",F42="",G42="",H42="",I42=""),"",IF(OR(AND(H42="UNCLEAR",E42="",F42="",G42="",I42&lt;&gt;""),AND(H42="LABELED",COUNTIFS(Taksonomi!$A$5:$A$13,E42,Taksonomi!$B$5:$B$13,F42)=1,OR(G42="",AND(COUNTIF(Taksonomi!$D$4:$D$6,G42)=1,G42&lt;&gt;E42)))),"OK","PERIKSA"))</x:f>
      </x:c>
    </x:row>
    <x:row r="43" ht="145" customHeight="1">
      <x:c r="A43" s="34" t="str">
        <x:v>1970873839812002178</x:v>
      </x:c>
      <x:c r="B43" s="34" t="str">
        <x:v>1970775217908633972</x:v>
      </x:c>
      <x:c r="C43" s="34" t="str">
        <x:v>Perawatan Korban Keracunan Makan Bergizi Gratis di Cipongkor https://t.co/lryP6sf2hv</x:v>
      </x:c>
      <x:c r="D43" s="34" t="str">
        <x:v>'@tempodotco Gue aja pernah makan steak Rp 6 juta keracunan, so?</x:v>
      </x:c>
      <x:c r="E43" s="40" t="str"/>
      <x:c r="F43" s="40" t="str"/>
      <x:c r="G43" s="40" t="str"/>
      <x:c r="H43" s="40" t="str"/>
      <x:c r="I43" s="40" t="str"/>
      <x:c r="J43" s="34" t="str">
        <x:v>A2</x:v>
      </x:c>
      <x:c r="K43" s="34" t="str">
        <x:v>1.0</x:v>
      </x:c>
      <x:c r="L43" s="35" t="str">
        <x:f>IF(AND(E43="",F43="",G43="",H43="",I43=""),"",IF(OR(AND(H43="UNCLEAR",E43="",F43="",G43="",I43&lt;&gt;""),AND(H43="LABELED",COUNTIFS(Taksonomi!$A$5:$A$13,E43,Taksonomi!$B$5:$B$13,F43)=1,OR(G43="",AND(COUNTIF(Taksonomi!$D$4:$D$6,G43)=1,G43&lt;&gt;E43)))),"OK","PERIKSA"))</x:f>
      </x:c>
    </x:row>
    <x:row r="44" ht="145" customHeight="1">
      <x:c r="A44" s="34" t="str">
        <x:v>1893919242669416868</x:v>
      </x:c>
      <x:c r="B44" s="34" t="str">
        <x:v>1893854881204547713</x:v>
      </x:c>
      <x:c r="C44" s="34" t="str">
        <x:v>Aksi tolak #MBG berlanjut di Papua. Hari ini (24/2), ribuan gabungan semua pelajar SD, SMP, dan SMU di Paniai, Papua, turun jalan tolak MBG yang dijalankan TNI/Polri.  Mereka menuntut pendidikan gratis.
#IndonesiaGelap
#tolakMBG
#papuaviral https://t.co/Dxl8W9qDL4</x:v>
      </x:c>
      <x:c r="D44" s="34" t="str">
        <x:v>'@vyeimo83 Kalau MBG bisa lancar, anak Papua nggak perlu pusing mikir biaya sekolah lagi</x:v>
      </x:c>
      <x:c r="E44" s="40" t="str"/>
      <x:c r="F44" s="40" t="str"/>
      <x:c r="G44" s="40" t="str"/>
      <x:c r="H44" s="40" t="str"/>
      <x:c r="I44" s="40" t="str"/>
      <x:c r="J44" s="34" t="str">
        <x:v>A2</x:v>
      </x:c>
      <x:c r="K44" s="34" t="str">
        <x:v>1.0</x:v>
      </x:c>
      <x:c r="L44" s="35" t="str">
        <x:f>IF(AND(E44="",F44="",G44="",H44="",I44=""),"",IF(OR(AND(H44="UNCLEAR",E44="",F44="",G44="",I44&lt;&gt;""),AND(H44="LABELED",COUNTIFS(Taksonomi!$A$5:$A$13,E44,Taksonomi!$B$5:$B$13,F44)=1,OR(G44="",AND(COUNTIF(Taksonomi!$D$4:$D$6,G44)=1,G44&lt;&gt;E44)))),"OK","PERIKSA"))</x:f>
      </x:c>
    </x:row>
    <x:row r="45" ht="145" customHeight="1">
      <x:c r="A45" s="34" t="str">
        <x:v>2018231402463125789</x:v>
      </x:c>
      <x:c r="B45" s="34" t="str">
        <x:v>2018180074642477114</x:v>
      </x:c>
      <x:c r="C45" s="34" t="str">
        <x:v>Menteri Koordinator Pangan Zulkifli Hasan menyatakan program makan bergizi gratis (MBG) tetap berlangsung selama Ramadan dengan penyesuaian kudapan.
Ia mengatakan penyaluran MBG pada Ramadan akan disesuaikan berdasarkan jenis penerima manfaat. https://t.co/KRTJFhjniV</x:v>
      </x:c>
      <x:c r="D45" s="34" t="str">
        <x:v>'@tempodotco Menurut keyakinan saya  ... sepertinya menu dan distribusi MBG akan awur2an di bulan ramadhan. Kita nantikan.</x:v>
      </x:c>
      <x:c r="E45" s="40" t="str"/>
      <x:c r="F45" s="40" t="str"/>
      <x:c r="G45" s="40" t="str"/>
      <x:c r="H45" s="40" t="str"/>
      <x:c r="I45" s="40" t="str"/>
      <x:c r="J45" s="34" t="str">
        <x:v>A2</x:v>
      </x:c>
      <x:c r="K45" s="34" t="str">
        <x:v>1.0</x:v>
      </x:c>
      <x:c r="L45" s="35" t="str">
        <x:f>IF(AND(E45="",F45="",G45="",H45="",I45=""),"",IF(OR(AND(H45="UNCLEAR",E45="",F45="",G45="",I45&lt;&gt;""),AND(H45="LABELED",COUNTIFS(Taksonomi!$A$5:$A$13,E45,Taksonomi!$B$5:$B$13,F45)=1,OR(G45="",AND(COUNTIF(Taksonomi!$D$4:$D$6,G45)=1,G45&lt;&gt;E45)))),"OK","PERIKSA"))</x:f>
      </x:c>
    </x:row>
    <x:row r="46" ht="145" customHeight="1">
      <x:c r="A46" s="34" t="str">
        <x:v>1997278269251698994</x:v>
      </x:c>
      <x:c r="B46" s="34" t="str">
        <x:v>1997155109772648720</x:v>
      </x:c>
      <x:c r="C46" s="34" t="str">
        <x:v>Anggaran MBG diproyeksikan 1,2 Triliun per hari. Pak @prabowo gimana klo stop aja dulu MBG selama 2 bulan, dananya dialihkan untuk pemulihan bencana Sumatera secara total. 
Pikirian sederhanya kan gtu :) https://t.co/pFC8S0WTMp</x:v>
      </x:c>
      <x:c r="D46" s="34" t="str">
        <x:v>'@BosPurwa @prabowo bukan gabisa lebih ke gamau kyknya.</x:v>
      </x:c>
      <x:c r="E46" s="40" t="str"/>
      <x:c r="F46" s="40" t="str"/>
      <x:c r="G46" s="40" t="str"/>
      <x:c r="H46" s="40" t="str"/>
      <x:c r="I46" s="40" t="str"/>
      <x:c r="J46" s="34" t="str">
        <x:v>A2</x:v>
      </x:c>
      <x:c r="K46" s="34" t="str">
        <x:v>1.0</x:v>
      </x:c>
      <x:c r="L46" s="35" t="str">
        <x:f>IF(AND(E46="",F46="",G46="",H46="",I46=""),"",IF(OR(AND(H46="UNCLEAR",E46="",F46="",G46="",I46&lt;&gt;""),AND(H46="LABELED",COUNTIFS(Taksonomi!$A$5:$A$13,E46,Taksonomi!$B$5:$B$13,F46)=1,OR(G46="",AND(COUNTIF(Taksonomi!$D$4:$D$6,G46)=1,G46&lt;&gt;E46)))),"OK","PERIKSA"))</x:f>
      </x:c>
    </x:row>
    <x:row r="47" ht="145" customHeight="1">
      <x:c r="A47" s="34" t="str">
        <x:v>1974190172498735569</x:v>
      </x:c>
      <x:c r="B47" s="34" t="str">
        <x:v>1974086585424752775</x:v>
      </x:c>
      <x:c r="C47"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47" s="34" t="str">
        <x:v>'@kompascom Pilihan bijak
Dapat jatah MBG
Jgn d makan..
Bawa pulang MBG nya
Bekal dari rumah di makan.
Biaaasaaaa.....
*Bocor Aluus di MBG*</x:v>
      </x:c>
      <x:c r="E47" s="40" t="str"/>
      <x:c r="F47" s="40" t="str"/>
      <x:c r="G47" s="40" t="str"/>
      <x:c r="H47" s="40" t="str"/>
      <x:c r="I47" s="40" t="str"/>
      <x:c r="J47" s="34" t="str">
        <x:v>A2</x:v>
      </x:c>
      <x:c r="K47" s="34" t="str">
        <x:v>1.0</x:v>
      </x:c>
      <x:c r="L47" s="35" t="str">
        <x:f>IF(AND(E47="",F47="",G47="",H47="",I47=""),"",IF(OR(AND(H47="UNCLEAR",E47="",F47="",G47="",I47&lt;&gt;""),AND(H47="LABELED",COUNTIFS(Taksonomi!$A$5:$A$13,E47,Taksonomi!$B$5:$B$13,F47)=1,OR(G47="",AND(COUNTIF(Taksonomi!$D$4:$D$6,G47)=1,G47&lt;&gt;E47)))),"OK","PERIKSA"))</x:f>
      </x:c>
    </x:row>
    <x:row r="48" ht="145" customHeight="1">
      <x:c r="A48" s="34" t="str">
        <x:v>1879741191895597498</x:v>
      </x:c>
      <x:c r="B48" s="34" t="str">
        <x:v>1879445721478525034</x:v>
      </x:c>
      <x:c r="C48" s="34" t="str">
        <x:v>Baiq Silawati, jurnalis perempuan di Lombok Timur, dipaksa HAPUS REKAMAN VIDEO saat meliput dapur program Makan Bergizi Gratis! 
APA ALASANNYA?
#LombokTimur #MakanBergiziGratis #AgamawanSalam https://t.co/piMQ1Ww7Vg</x:v>
      </x:c>
      <x:c r="D48" s="34" t="str">
        <x:v>'@detikbali__ Lihat film jepang tentang koki yg dipecat dari restoran kemudian jadi koki sekolah, disana kelihatanya ketat sekali masalah standar gizi dan porsinya, klo disini dilihat lihat kok asal makan saja ya, ga ada standar porsi, apalagi gizi.</x:v>
      </x:c>
      <x:c r="E48" s="40" t="str"/>
      <x:c r="F48" s="40" t="str"/>
      <x:c r="G48" s="40" t="str"/>
      <x:c r="H48" s="40" t="str"/>
      <x:c r="I48" s="40" t="str"/>
      <x:c r="J48" s="34" t="str">
        <x:v>A2</x:v>
      </x:c>
      <x:c r="K48" s="34" t="str">
        <x:v>1.0</x:v>
      </x:c>
      <x:c r="L48" s="35" t="str">
        <x:f>IF(AND(E48="",F48="",G48="",H48="",I48=""),"",IF(OR(AND(H48="UNCLEAR",E48="",F48="",G48="",I48&lt;&gt;""),AND(H48="LABELED",COUNTIFS(Taksonomi!$A$5:$A$13,E48,Taksonomi!$B$5:$B$13,F48)=1,OR(G48="",AND(COUNTIF(Taksonomi!$D$4:$D$6,G48)=1,G48&lt;&gt;E48)))),"OK","PERIKSA"))</x:f>
      </x:c>
    </x:row>
    <x:row r="49" ht="145" customHeight="1">
      <x:c r="A49" s="34" t="str">
        <x:v>1913023673050751027</x:v>
      </x:c>
      <x:c r="B49" s="34" t="str">
        <x:v>1912438000711266498</x:v>
      </x:c>
      <x:c r="C49" s="34"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49" s="34" t="str">
        <x:v>'@asumsico Gimana tanggapan pak @prabowo  ?? Kita liat nanti</x:v>
      </x:c>
      <x:c r="E49" s="40" t="str"/>
      <x:c r="F49" s="40" t="str"/>
      <x:c r="G49" s="40" t="str"/>
      <x:c r="H49" s="40" t="str"/>
      <x:c r="I49" s="40" t="str"/>
      <x:c r="J49" s="34" t="str">
        <x:v>A2</x:v>
      </x:c>
      <x:c r="K49" s="34" t="str">
        <x:v>1.0</x:v>
      </x:c>
      <x:c r="L49" s="35" t="str">
        <x:f>IF(AND(E49="",F49="",G49="",H49="",I49=""),"",IF(OR(AND(H49="UNCLEAR",E49="",F49="",G49="",I49&lt;&gt;""),AND(H49="LABELED",COUNTIFS(Taksonomi!$A$5:$A$13,E49,Taksonomi!$B$5:$B$13,F49)=1,OR(G49="",AND(COUNTIF(Taksonomi!$D$4:$D$6,G49)=1,G49&lt;&gt;E49)))),"OK","PERIKSA"))</x:f>
      </x:c>
    </x:row>
    <x:row r="50" ht="145" customHeight="1">
      <x:c r="A50" s="34" t="str">
        <x:v>1876541094990889072</x:v>
      </x:c>
      <x:c r="B50" s="34" t="str">
        <x:v>1876498298858778996</x:v>
      </x:c>
      <x:c r="C50" s="34" t="str">
        <x:v>Udah dipost di Tiktok ternyata. Seperti biasa isi komennya:
“Ini makan bergizi gratis, bukan makan sesuai selera.” ☺️ https://t.co/bcMf67P4eg</x:v>
      </x:c>
      <x:c r="D50" s="34" t="str">
        <x:v>'@karimasoyou dan endingnya dipaksa untuk nerimo hal beginian.
padahal dengan dana segitu bisa aja untuk distribusi fasilitas sekolah2 terpencil biar bisa keepup dengan sekolah top.
tp milihnya makan gratis yang katanya sehat.
well well…</x:v>
      </x:c>
      <x:c r="E50" s="40" t="str"/>
      <x:c r="F50" s="40" t="str"/>
      <x:c r="G50" s="40" t="str"/>
      <x:c r="H50" s="40" t="str"/>
      <x:c r="I50" s="40" t="str"/>
      <x:c r="J50" s="34" t="str">
        <x:v>A2</x:v>
      </x:c>
      <x:c r="K50" s="34" t="str">
        <x:v>1.0</x:v>
      </x:c>
      <x:c r="L50" s="35" t="str">
        <x:f>IF(AND(E50="",F50="",G50="",H50="",I50=""),"",IF(OR(AND(H50="UNCLEAR",E50="",F50="",G50="",I50&lt;&gt;""),AND(H50="LABELED",COUNTIFS(Taksonomi!$A$5:$A$13,E50,Taksonomi!$B$5:$B$13,F50)=1,OR(G50="",AND(COUNTIF(Taksonomi!$D$4:$D$6,G50)=1,G50&lt;&gt;E50)))),"OK","PERIKSA"))</x:f>
      </x:c>
    </x:row>
    <x:row r="51" ht="145" customHeight="1">
      <x:c r="A51" s="34" t="str">
        <x:v>1960537771573174695</x:v>
      </x:c>
      <x:c r="B51" s="34" t="str">
        <x:v>1960516627977658771</x:v>
      </x:c>
      <x:c r="C51" s="34" t="str">
        <x:v>"Tadi malam saya mendapat laporan (MBG) sudah melewati 21 juta (orang  penerima)," kata Presiden Prabowo  Subianto. 
 Klik untuk baca: https://t.co/C2QvieHeRh
| #MakanBergiziGratis #Prabowo https://t.co/19P2OBwJYC</x:v>
      </x:c>
      <x:c r="D51" s="34" t="str">
        <x:v>'@kompascom Yang dikejar kuantitas biar bagus di atas kertas. Padahal, banyak kasus keracunan, nampan makanan terindikasi bahan berbahaya, guru ga dapat insentif tambahan tapi kena pinalti klo nampan ilang, target nutrisi sangat rendah karena keterbatasan biaya. Embuh</x:v>
      </x:c>
      <x:c r="E51" s="40" t="str"/>
      <x:c r="F51" s="40" t="str"/>
      <x:c r="G51" s="40" t="str"/>
      <x:c r="H51" s="40" t="str"/>
      <x:c r="I51" s="40" t="str"/>
      <x:c r="J51" s="34" t="str">
        <x:v>A2</x:v>
      </x:c>
      <x:c r="K51" s="34" t="str">
        <x:v>1.0</x:v>
      </x:c>
      <x:c r="L51" s="35" t="str">
        <x:f>IF(AND(E51="",F51="",G51="",H51="",I51=""),"",IF(OR(AND(H51="UNCLEAR",E51="",F51="",G51="",I51&lt;&gt;""),AND(H51="LABELED",COUNTIFS(Taksonomi!$A$5:$A$13,E51,Taksonomi!$B$5:$B$13,F51)=1,OR(G51="",AND(COUNTIF(Taksonomi!$D$4:$D$6,G51)=1,G51&lt;&gt;E51)))),"OK","PERIKSA"))</x:f>
      </x:c>
    </x:row>
    <x:row r="52" ht="145" customHeight="1">
      <x:c r="A52" s="34" t="str">
        <x:v>2016048422659539159</x:v>
      </x:c>
      <x:c r="B52" s="34" t="str">
        <x:v>2015705523405164760</x:v>
      </x:c>
      <x:c r="C52" s="34"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52" s="34" t="str">
        <x:v>'@RadioElshinta Ga punya malu, baju aparat tapi mengintimidasi pedagang kecil. Investigasi noh dapur MBG yg bikin keracunan masal. Semoga mamangnya dilimpahkan rezeki yg melimpah, banyak yg beli dagangannya.</x:v>
      </x:c>
      <x:c r="E52" s="40" t="str"/>
      <x:c r="F52" s="40" t="str"/>
      <x:c r="G52" s="40" t="str"/>
      <x:c r="H52" s="40" t="str"/>
      <x:c r="I52" s="40" t="str"/>
      <x:c r="J52" s="34" t="str">
        <x:v>A2</x:v>
      </x:c>
      <x:c r="K52" s="34" t="str">
        <x:v>1.0</x:v>
      </x:c>
      <x:c r="L52" s="35" t="str">
        <x:f>IF(AND(E52="",F52="",G52="",H52="",I52=""),"",IF(OR(AND(H52="UNCLEAR",E52="",F52="",G52="",I52&lt;&gt;""),AND(H52="LABELED",COUNTIFS(Taksonomi!$A$5:$A$13,E52,Taksonomi!$B$5:$B$13,F52)=1,OR(G52="",AND(COUNTIF(Taksonomi!$D$4:$D$6,G52)=1,G52&lt;&gt;E52)))),"OK","PERIKSA"))</x:f>
      </x:c>
    </x:row>
    <x:row r="53" ht="145" customHeight="1">
      <x:c r="A53" s="34" t="str">
        <x:v>1991012621500535006</x:v>
      </x:c>
      <x:c r="B53" s="34" t="str">
        <x:v>1990441460798472686</x:v>
      </x:c>
      <x:c r="C53"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53" s="34" t="str">
        <x:v>'@kompascom Pemerintah meninjau ulang rantai logistik untuk memastikan keamanan setiap bahan Kerja Nyata #LanjutkanMBG</x:v>
      </x:c>
      <x:c r="E53" s="40" t="str"/>
      <x:c r="F53" s="40" t="str"/>
      <x:c r="G53" s="40" t="str"/>
      <x:c r="H53" s="40" t="str"/>
      <x:c r="I53" s="40" t="str"/>
      <x:c r="J53" s="34" t="str">
        <x:v>A2</x:v>
      </x:c>
      <x:c r="K53" s="34" t="str">
        <x:v>1.0</x:v>
      </x:c>
      <x:c r="L53" s="35" t="str">
        <x:f>IF(AND(E53="",F53="",G53="",H53="",I53=""),"",IF(OR(AND(H53="UNCLEAR",E53="",F53="",G53="",I53&lt;&gt;""),AND(H53="LABELED",COUNTIFS(Taksonomi!$A$5:$A$13,E53,Taksonomi!$B$5:$B$13,F53)=1,OR(G53="",AND(COUNTIF(Taksonomi!$D$4:$D$6,G53)=1,G53&lt;&gt;E53)))),"OK","PERIKSA"))</x:f>
      </x:c>
    </x:row>
    <x:row r="54" ht="145" customHeight="1">
      <x:c r="A54" s="34" t="str">
        <x:v>1900410683537424491</x:v>
      </x:c>
      <x:c r="B54" s="34" t="str">
        <x:v>1900326655366963315</x:v>
      </x:c>
      <x:c r="C54" s="34" t="str">
        <x:v>Gubernur Jakarta Gandeng Badan Gizi Nasional Dorong Transformasi Kantin Sekolah sebagai Pelengkap MBG
#MakanBergiziGratis https://t.co/Tt6kbDFiMI</x:v>
      </x:c>
      <x:c r="D54" s="34" t="str">
        <x:v>'@KotaNusantara Seiring di sekolah, kantin sehat jadi langkah awal pencapaian sehat</x:v>
      </x:c>
      <x:c r="E54" s="40" t="str"/>
      <x:c r="F54" s="40" t="str"/>
      <x:c r="G54" s="40" t="str"/>
      <x:c r="H54" s="40" t="str"/>
      <x:c r="I54" s="40" t="str"/>
      <x:c r="J54" s="34" t="str">
        <x:v>A2</x:v>
      </x:c>
      <x:c r="K54" s="34" t="str">
        <x:v>1.0</x:v>
      </x:c>
      <x:c r="L54" s="35" t="str">
        <x:f>IF(AND(E54="",F54="",G54="",H54="",I54=""),"",IF(OR(AND(H54="UNCLEAR",E54="",F54="",G54="",I54&lt;&gt;""),AND(H54="LABELED",COUNTIFS(Taksonomi!$A$5:$A$13,E54,Taksonomi!$B$5:$B$13,F54)=1,OR(G54="",AND(COUNTIF(Taksonomi!$D$4:$D$6,G54)=1,G54&lt;&gt;E54)))),"OK","PERIKSA"))</x:f>
      </x:c>
    </x:row>
    <x:row r="55" ht="145" customHeight="1">
      <x:c r="A55" s="34" t="str">
        <x:v>1893669159608672412</x:v>
      </x:c>
      <x:c r="B55" s="34" t="str">
        <x:v>1893601702273806465</x:v>
      </x:c>
      <x:c r="C55" s="34" t="str">
        <x:v>MBG:                                  Equil(e-katalog):
Rp10.000                          Rp34.650 https://t.co/L6khBkGHUA</x:v>
      </x:c>
      <x:c r="D55" s="34" t="str">
        <x:v>'@ARSIPAJA Kalo MBG tuh menu sama ratakah semua anak? Masalahnya, tiap anak punya kebutuhan gizi yang beda-beda, belom lagi perihal alergi dan lain-lain. Dungu sih kalo masih jalan tuh program</x:v>
      </x:c>
      <x:c r="E55" s="40" t="str"/>
      <x:c r="F55" s="40" t="str"/>
      <x:c r="G55" s="40" t="str"/>
      <x:c r="H55" s="40" t="str"/>
      <x:c r="I55" s="40" t="str"/>
      <x:c r="J55" s="34" t="str">
        <x:v>A2</x:v>
      </x:c>
      <x:c r="K55" s="34" t="str">
        <x:v>1.0</x:v>
      </x:c>
      <x:c r="L55" s="35" t="str">
        <x:f>IF(AND(E55="",F55="",G55="",H55="",I55=""),"",IF(OR(AND(H55="UNCLEAR",E55="",F55="",G55="",I55&lt;&gt;""),AND(H55="LABELED",COUNTIFS(Taksonomi!$A$5:$A$13,E55,Taksonomi!$B$5:$B$13,F55)=1,OR(G55="",AND(COUNTIF(Taksonomi!$D$4:$D$6,G55)=1,G55&lt;&gt;E55)))),"OK","PERIKSA"))</x:f>
      </x:c>
    </x:row>
    <x:row r="56" ht="145" customHeight="1">
      <x:c r="A56" s="34" t="str">
        <x:v>1924809860971167779</x:v>
      </x:c>
      <x:c r="B56" s="34" t="str">
        <x:v>1924264010029154441</x:v>
      </x:c>
      <x:c r="C56" s="34" t="str">
        <x:v>makan bergizi gratis? anak teman ga mau makan dari mbg karena biasa makannhangat dan diantar ibunya dari rumah. eh ibunya dipanggil sekolah kenapa anaknya ga mau makan mbg itu. saya kira mudarat proyek politik ini.</x:v>
      </x:c>
      <x:c r="D56" s="34" t="str">
        <x:v>'@saiful_mujani sebaiknya memang MBG hanya untuk sekolah di daerah 3T saja yg bener2 kesulitan buat makan. Jangan dipaksakan satu indonesia</x:v>
      </x:c>
      <x:c r="E56" s="40" t="str"/>
      <x:c r="F56" s="40" t="str"/>
      <x:c r="G56" s="40" t="str"/>
      <x:c r="H56" s="40" t="str"/>
      <x:c r="I56" s="40" t="str"/>
      <x:c r="J56" s="34" t="str">
        <x:v>A2</x:v>
      </x:c>
      <x:c r="K56" s="34" t="str">
        <x:v>1.0</x:v>
      </x:c>
      <x:c r="L56" s="35" t="str">
        <x:f>IF(AND(E56="",F56="",G56="",H56="",I56=""),"",IF(OR(AND(H56="UNCLEAR",E56="",F56="",G56="",I56&lt;&gt;""),AND(H56="LABELED",COUNTIFS(Taksonomi!$A$5:$A$13,E56,Taksonomi!$B$5:$B$13,F56)=1,OR(G56="",AND(COUNTIF(Taksonomi!$D$4:$D$6,G56)=1,G56&lt;&gt;E56)))),"OK","PERIKSA"))</x:f>
      </x:c>
    </x:row>
    <x:row r="57" ht="145" customHeight="1">
      <x:c r="A57" s="34" t="str">
        <x:v>1805113731334263041</x:v>
      </x:c>
      <x:c r="B57" s="34" t="str">
        <x:v>1805110814602625151</x:v>
      </x:c>
      <x:c r="C57" s="34" t="str">
        <x:v>Sri Mulyani Sebut Pemerintah Sepakati Anggaran Makan Bergizi Gratis Rp 71 Triliun
#TempoBisnis
https://t.co/2XXPcn9G2j</x:v>
      </x:c>
      <x:c r="D57" s="34" t="str">
        <x:v>'@tempodotco Angka yg sangat menggiurkan</x:v>
      </x:c>
      <x:c r="E57" s="40" t="str"/>
      <x:c r="F57" s="40" t="str"/>
      <x:c r="G57" s="40" t="str"/>
      <x:c r="H57" s="40" t="str"/>
      <x:c r="I57" s="40" t="str"/>
      <x:c r="J57" s="34" t="str">
        <x:v>A2</x:v>
      </x:c>
      <x:c r="K57" s="34" t="str">
        <x:v>1.0</x:v>
      </x:c>
      <x:c r="L57" s="35" t="str">
        <x:f>IF(AND(E57="",F57="",G57="",H57="",I57=""),"",IF(OR(AND(H57="UNCLEAR",E57="",F57="",G57="",I57&lt;&gt;""),AND(H57="LABELED",COUNTIFS(Taksonomi!$A$5:$A$13,E57,Taksonomi!$B$5:$B$13,F57)=1,OR(G57="",AND(COUNTIF(Taksonomi!$D$4:$D$6,G57)=1,G57&lt;&gt;E57)))),"OK","PERIKSA"))</x:f>
      </x:c>
    </x:row>
    <x:row r="58" ht="145" customHeight="1">
      <x:c r="A58" s="34" t="str">
        <x:v>1876185076540854740</x:v>
      </x:c>
      <x:c r="B58" s="34" t="str">
        <x:v>1876172762559242292</x:v>
      </x:c>
      <x:c r="C58" s="34" t="str">
        <x:v>Anak-anak itu kalau ngomong jujur ga kayak buzzer dan jubir PCO2an..
Krisna kamu kalau besar pasti jadi anak hebat dan pemberani..🔥🔥🔥
"Rasanya Aneh, kulitnya itu sangat keras bikin ga nafsu makan" https://t.co/UnaDixamiP</x:v>
      </x:c>
      <x:c r="D58" s="34" t="str">
        <x:v>'@PaltiWest2024 Kalau lihat ruang kelasnya , bukan mereka sasaran makanan tambahan ini. Kalau reporter bisa, coba tanya anak di sekolah di pelosok atau daerah kumuh..</x:v>
      </x:c>
      <x:c r="E58" s="40" t="str"/>
      <x:c r="F58" s="40" t="str"/>
      <x:c r="G58" s="40" t="str"/>
      <x:c r="H58" s="40" t="str"/>
      <x:c r="I58" s="40" t="str"/>
      <x:c r="J58" s="34" t="str">
        <x:v>A2</x:v>
      </x:c>
      <x:c r="K58" s="34" t="str">
        <x:v>1.0</x:v>
      </x:c>
      <x:c r="L58" s="35" t="str">
        <x:f>IF(AND(E58="",F58="",G58="",H58="",I58=""),"",IF(OR(AND(H58="UNCLEAR",E58="",F58="",G58="",I58&lt;&gt;""),AND(H58="LABELED",COUNTIFS(Taksonomi!$A$5:$A$13,E58,Taksonomi!$B$5:$B$13,F58)=1,OR(G58="",AND(COUNTIF(Taksonomi!$D$4:$D$6,G58)=1,G58&lt;&gt;E58)))),"OK","PERIKSA"))</x:f>
      </x:c>
    </x:row>
    <x:row r="59" ht="145" customHeight="1">
      <x:c r="A59" s="34" t="str">
        <x:v>1914305244793913682</x:v>
      </x:c>
      <x:c r="B59" s="34" t="str">
        <x:v>1914174756959773161</x:v>
      </x:c>
      <x:c r="C59" s="34" t="str">
        <x:v>Kisruh Proyek Makan Bergizi Gratis, ICW: Lebih Baik MBG Dihentikan
https://t.co/PnJ71ZxoQA</x:v>
      </x:c>
      <x:c r="D59" s="34" t="str">
        <x:v>'@tempodotco Ekonomi lesu? Tenang, makan gratis.
Pendidikan amburadul? Gak apa-apa, yang penting kenyang.
Korupsi merajalela? Santai, ada lauk rendang dua minggu sekali</x:v>
      </x:c>
      <x:c r="E59" s="40" t="str"/>
      <x:c r="F59" s="40" t="str"/>
      <x:c r="G59" s="40" t="str"/>
      <x:c r="H59" s="40" t="str"/>
      <x:c r="I59" s="40" t="str"/>
      <x:c r="J59" s="34" t="str">
        <x:v>A2</x:v>
      </x:c>
      <x:c r="K59" s="34" t="str">
        <x:v>1.0</x:v>
      </x:c>
      <x:c r="L59" s="35" t="str">
        <x:f>IF(AND(E59="",F59="",G59="",H59="",I59=""),"",IF(OR(AND(H59="UNCLEAR",E59="",F59="",G59="",I59&lt;&gt;""),AND(H59="LABELED",COUNTIFS(Taksonomi!$A$5:$A$13,E59,Taksonomi!$B$5:$B$13,F59)=1,OR(G59="",AND(COUNTIF(Taksonomi!$D$4:$D$6,G59)=1,G59&lt;&gt;E59)))),"OK","PERIKSA"))</x:f>
      </x:c>
    </x:row>
    <x:row r="60" ht="145" customHeight="1">
      <x:c r="A60" s="34" t="str">
        <x:v>1963119063665656069</x:v>
      </x:c>
      <x:c r="B60" s="34" t="str">
        <x:v>1963079448007475294</x:v>
      </x:c>
      <x:c r="C60" s="34" t="str">
        <x:v>Kepala Dinas Kesehatan Kabupaten Lebong, Provinsi Bengkulu, menyatakan bahwa hasil uji laboratorium menunjukkan bakso terpapar bakteri menyebabkan 456 siswa di daerah itu keracunan menu MBG beberapa waktu lalu.
Baca selengkapnya 👇
https://t.co/aRd8cJrjY8
~LL #Keracunan #MBG https://t.co/BqMx3wUVnG</x:v>
      </x:c>
      <x:c r="D60" s="34" t="str">
        <x:v>'@kompascom Pemerintah ini mau mengentaskan kemiskinan dengan cara meracuni penerima MBG kah</x:v>
      </x:c>
      <x:c r="E60" s="40" t="str"/>
      <x:c r="F60" s="40" t="str"/>
      <x:c r="G60" s="40" t="str"/>
      <x:c r="H60" s="40" t="str"/>
      <x:c r="I60" s="40" t="str"/>
      <x:c r="J60" s="34" t="str">
        <x:v>A2</x:v>
      </x:c>
      <x:c r="K60" s="34" t="str">
        <x:v>1.0</x:v>
      </x:c>
      <x:c r="L60" s="35" t="str">
        <x:f>IF(AND(E60="",F60="",G60="",H60="",I60=""),"",IF(OR(AND(H60="UNCLEAR",E60="",F60="",G60="",I60&lt;&gt;""),AND(H60="LABELED",COUNTIFS(Taksonomi!$A$5:$A$13,E60,Taksonomi!$B$5:$B$13,F60)=1,OR(G60="",AND(COUNTIF(Taksonomi!$D$4:$D$6,G60)=1,G60&lt;&gt;E60)))),"OK","PERIKSA"))</x:f>
      </x:c>
    </x:row>
    <x:row r="61" ht="145" customHeight="1">
      <x:c r="A61" s="34" t="str">
        <x:v>1880117524043583942</x:v>
      </x:c>
      <x:c r="B61" s="34" t="str">
        <x:v>1879783141952651292</x:v>
      </x:c>
      <x:c r="C61" s="34" t="str">
        <x:v>Guru Besar Ilmu Gizi Sebut Daun Kelor Tak Bisa Gantikan Susu dalam Menu Makan Bergizi Gratis
https://t.co/uR3QX2MPHl</x:v>
      </x:c>
      <x:c r="D61" s="34" t="str">
        <x:v>'@tempodotco Nunggu ada yg komen, "ini ibunya pasti anak abah"</x:v>
      </x:c>
      <x:c r="E61" s="40" t="str"/>
      <x:c r="F61" s="40" t="str"/>
      <x:c r="G61" s="40" t="str"/>
      <x:c r="H61" s="40" t="str"/>
      <x:c r="I61" s="40" t="str"/>
      <x:c r="J61" s="34" t="str">
        <x:v>A2</x:v>
      </x:c>
      <x:c r="K61" s="34" t="str">
        <x:v>1.0</x:v>
      </x:c>
      <x:c r="L61" s="35" t="str">
        <x:f>IF(AND(E61="",F61="",G61="",H61="",I61=""),"",IF(OR(AND(H61="UNCLEAR",E61="",F61="",G61="",I61&lt;&gt;""),AND(H61="LABELED",COUNTIFS(Taksonomi!$A$5:$A$13,E61,Taksonomi!$B$5:$B$13,F61)=1,OR(G61="",AND(COUNTIF(Taksonomi!$D$4:$D$6,G61)=1,G61&lt;&gt;E61)))),"OK","PERIKSA"))</x:f>
      </x:c>
    </x:row>
    <x:row r="62" ht="145" customHeight="1">
      <x:c r="A62" s="34" t="str">
        <x:v>1971159721039302770</x:v>
      </x:c>
      <x:c r="B62" s="34" t="str">
        <x:v>1971073094778511523</x:v>
      </x:c>
      <x:c r="C62" s="34" t="str">
        <x:v>Nutritionist DR. dr. Tan Shot Yen, M.Hum blasts Badan Gizi Nasional over the poor quality of MBG during DPR meeting. https://t.co/5it2C81elJ</x:v>
      </x:c>
      <x:c r="D62" s="34" t="str">
        <x:v>'@IndoPopBase @madelinekatrol @kaleyzoo @cerneedhero kirim video ini ke wowok pls, biar ga ayang2an mulu sm bunted</x:v>
      </x:c>
      <x:c r="E62" s="40" t="str"/>
      <x:c r="F62" s="40" t="str"/>
      <x:c r="G62" s="40" t="str"/>
      <x:c r="H62" s="40" t="str"/>
      <x:c r="I62" s="40" t="str"/>
      <x:c r="J62" s="34" t="str">
        <x:v>A2</x:v>
      </x:c>
      <x:c r="K62" s="34" t="str">
        <x:v>1.0</x:v>
      </x:c>
      <x:c r="L62" s="35" t="str">
        <x:f>IF(AND(E62="",F62="",G62="",H62="",I62=""),"",IF(OR(AND(H62="UNCLEAR",E62="",F62="",G62="",I62&lt;&gt;""),AND(H62="LABELED",COUNTIFS(Taksonomi!$A$5:$A$13,E62,Taksonomi!$B$5:$B$13,F62)=1,OR(G62="",AND(COUNTIF(Taksonomi!$D$4:$D$6,G62)=1,G62&lt;&gt;E62)))),"OK","PERIKSA"))</x:f>
      </x:c>
    </x:row>
    <x:row r="63" ht="145" customHeight="1">
      <x:c r="A63" s="34" t="str">
        <x:v>2021921924071457230</x:v>
      </x:c>
      <x:c r="B63" s="34" t="str">
        <x:v>2021887009606783070</x:v>
      </x:c>
      <x:c r="C63" s="34" t="str">
        <x:v>Purbaya: Jangan Terus Persoalkan Makan Bergizi Gratis https://t.co/K8FzkM8oSd</x:v>
      </x:c>
      <x:c r="D63" s="34" t="str">
        <x:v>'@tempodotco Masalahnya anggaran nya itu super gede banget tiap  tahun pak...</x:v>
      </x:c>
      <x:c r="E63" s="40" t="str"/>
      <x:c r="F63" s="40" t="str"/>
      <x:c r="G63" s="40" t="str"/>
      <x:c r="H63" s="40" t="str"/>
      <x:c r="I63" s="40" t="str"/>
      <x:c r="J63" s="34" t="str">
        <x:v>A2</x:v>
      </x:c>
      <x:c r="K63" s="34" t="str">
        <x:v>1.0</x:v>
      </x:c>
      <x:c r="L63" s="35" t="str">
        <x:f>IF(AND(E63="",F63="",G63="",H63="",I63=""),"",IF(OR(AND(H63="UNCLEAR",E63="",F63="",G63="",I63&lt;&gt;""),AND(H63="LABELED",COUNTIFS(Taksonomi!$A$5:$A$13,E63,Taksonomi!$B$5:$B$13,F63)=1,OR(G63="",AND(COUNTIF(Taksonomi!$D$4:$D$6,G63)=1,G63&lt;&gt;E63)))),"OK","PERIKSA"))</x:f>
      </x:c>
    </x:row>
    <x:row r="64" ht="145" customHeight="1">
      <x:c r="A64" s="34" t="str">
        <x:v>2019452691743723557</x:v>
      </x:c>
      <x:c r="B64" s="34" t="str">
        <x:v>2019406266465153282</x:v>
      </x:c>
      <x:c r="C64" s="34" t="str">
        <x:v>MBG program yg keren di kepala Prabowo sendiri</x:v>
      </x:c>
      <x:c r="D64" s="34" t="str">
        <x:v>'@strootsys pdhal banyak yg keracunan</x:v>
      </x:c>
      <x:c r="E64" s="40" t="str"/>
      <x:c r="F64" s="40" t="str"/>
      <x:c r="G64" s="40" t="str"/>
      <x:c r="H64" s="40" t="str"/>
      <x:c r="I64" s="40" t="str"/>
      <x:c r="J64" s="34" t="str">
        <x:v>A2</x:v>
      </x:c>
      <x:c r="K64" s="34" t="str">
        <x:v>1.0</x:v>
      </x:c>
      <x:c r="L64" s="35" t="str">
        <x:f>IF(AND(E64="",F64="",G64="",H64="",I64=""),"",IF(OR(AND(H64="UNCLEAR",E64="",F64="",G64="",I64&lt;&gt;""),AND(H64="LABELED",COUNTIFS(Taksonomi!$A$5:$A$13,E64,Taksonomi!$B$5:$B$13,F64)=1,OR(G64="",AND(COUNTIF(Taksonomi!$D$4:$D$6,G64)=1,G64&lt;&gt;E64)))),"OK","PERIKSA"))</x:f>
      </x:c>
    </x:row>
    <x:row r="65" ht="145" customHeight="1">
      <x:c r="A65" s="34" t="str">
        <x:v>1917860649759289438</x:v>
      </x:c>
      <x:c r="B65" s="34" t="str">
        <x:v>1917784225249636367</x:v>
      </x:c>
      <x:c r="C65" s="34" t="str">
        <x:v>Ratusan Siswa SMP Bandung Keracunan Usai Santap Makan Bergizi Gratis
https://t.co/xRPwU7sGS8</x:v>
      </x:c>
      <x:c r="D65" s="34" t="str">
        <x:v>'@CNNIndonesia Kejadian keracunan MBG terulang kembali ☠️ 
Mohon dievaluasi program ini.. atau jika repot, diganti saja modelnya.</x:v>
      </x:c>
      <x:c r="E65" s="40" t="str"/>
      <x:c r="F65" s="40" t="str"/>
      <x:c r="G65" s="40" t="str"/>
      <x:c r="H65" s="40" t="str"/>
      <x:c r="I65" s="40" t="str"/>
      <x:c r="J65" s="34" t="str">
        <x:v>A2</x:v>
      </x:c>
      <x:c r="K65" s="34" t="str">
        <x:v>1.0</x:v>
      </x:c>
      <x:c r="L65" s="35" t="str">
        <x:f>IF(AND(E65="",F65="",G65="",H65="",I65=""),"",IF(OR(AND(H65="UNCLEAR",E65="",F65="",G65="",I65&lt;&gt;""),AND(H65="LABELED",COUNTIFS(Taksonomi!$A$5:$A$13,E65,Taksonomi!$B$5:$B$13,F65)=1,OR(G65="",AND(COUNTIF(Taksonomi!$D$4:$D$6,G65)=1,G65&lt;&gt;E65)))),"OK","PERIKSA"))</x:f>
      </x:c>
    </x:row>
    <x:row r="66" ht="145" customHeight="1">
      <x:c r="A66" s="34" t="str">
        <x:v>1849076546797199763</x:v>
      </x:c>
      <x:c r="B66" s="34" t="str">
        <x:v>1849013441761267777</x:v>
      </x:c>
      <x:c r="C66" s="34" t="str">
        <x:v>Wapres Gibran Uji Coba Makan Bergizi Gratis di SMPN 270 Jakarta https://t.co/H51DEBR81M #TempoFoto</x:v>
      </x:c>
      <x:c r="D66" s="34" t="str">
        <x:v>'@tempodotco Yang diuji coba, nasi kotak plus snack. Realisasi, nasi bungkus dengan lauk minimalis ala kadarnya.</x:v>
      </x:c>
      <x:c r="E66" s="40" t="str"/>
      <x:c r="F66" s="40" t="str"/>
      <x:c r="G66" s="40" t="str"/>
      <x:c r="H66" s="40" t="str"/>
      <x:c r="I66" s="40" t="str"/>
      <x:c r="J66" s="34" t="str">
        <x:v>A2</x:v>
      </x:c>
      <x:c r="K66" s="34" t="str">
        <x:v>1.0</x:v>
      </x:c>
      <x:c r="L66" s="35" t="str">
        <x:f>IF(AND(E66="",F66="",G66="",H66="",I66=""),"",IF(OR(AND(H66="UNCLEAR",E66="",F66="",G66="",I66&lt;&gt;""),AND(H66="LABELED",COUNTIFS(Taksonomi!$A$5:$A$13,E66,Taksonomi!$B$5:$B$13,F66)=1,OR(G66="",AND(COUNTIF(Taksonomi!$D$4:$D$6,G66)=1,G66&lt;&gt;E66)))),"OK","PERIKSA"))</x:f>
      </x:c>
    </x:row>
    <x:row r="67" ht="145" customHeight="1">
      <x:c r="A67" s="34" t="str">
        <x:v>1926420214851203183</x:v>
      </x:c>
      <x:c r="B67" s="34" t="str">
        <x:v>1925836489532858660</x:v>
      </x:c>
      <x:c r="C67" s="34" t="str">
        <x:v>Korban Keracunan MBG Lebih Besar dari Klaim Prabowo
https://t.co/IvOFEWz7o5</x:v>
      </x:c>
      <x:c r="D67" s="34" t="str">
        <x:v>'@tempodotco Anggaran 10 Rb sampai Hilir tinggal 7 rb sd 8 rb, @negeridaruratkorupsi hanya sebagai ajang korupsi anak buah @prabowo  , berantas korupsi &amp;amp; tegakkan hukum  dulu @prabowo  baru omon-omon lainya, Hukum sudah roboh, Coruptor n crime dunia diduga ijazahnya Aspal malah diselamatkan</x:v>
      </x:c>
      <x:c r="E67" s="40" t="str"/>
      <x:c r="F67" s="40" t="str"/>
      <x:c r="G67" s="40" t="str"/>
      <x:c r="H67" s="40" t="str"/>
      <x:c r="I67" s="40" t="str"/>
      <x:c r="J67" s="34" t="str">
        <x:v>A2</x:v>
      </x:c>
      <x:c r="K67" s="34" t="str">
        <x:v>1.0</x:v>
      </x:c>
      <x:c r="L67" s="35" t="str">
        <x:f>IF(AND(E67="",F67="",G67="",H67="",I67=""),"",IF(OR(AND(H67="UNCLEAR",E67="",F67="",G67="",I67&lt;&gt;""),AND(H67="LABELED",COUNTIFS(Taksonomi!$A$5:$A$13,E67,Taksonomi!$B$5:$B$13,F67)=1,OR(G67="",AND(COUNTIF(Taksonomi!$D$4:$D$6,G67)=1,G67&lt;&gt;E67)))),"OK","PERIKSA"))</x:f>
      </x:c>
    </x:row>
    <x:row r="68" ht="145" customHeight="1">
      <x:c r="A68" s="34" t="str">
        <x:v>2014292307974262950</x:v>
      </x:c>
      <x:c r="B68" s="34" t="str">
        <x:v>2014214195659899161</x:v>
      </x:c>
      <x:c r="C68" s="34" t="str">
        <x:v>Masa katanya anak yang putus sekolah juga akan dapat MBG???? wkwkwkwkwkwkwkkwkw bukannya bantu dilanjutin sekolahnya jir gmn sih ini gw yg gila apa mereka yang gila wkwkwkwkwkw</x:v>
      </x:c>
      <x:c r="D68" s="34" t="str">
        <x:v>'@kaptenAmercia nanti juga ada kebijakan orang yang  udah meninggal dapet MBG, akalin terus sampe penyerapan anggaran 100%.</x:v>
      </x:c>
      <x:c r="E68" s="40" t="str"/>
      <x:c r="F68" s="40" t="str"/>
      <x:c r="G68" s="40" t="str"/>
      <x:c r="H68" s="40" t="str"/>
      <x:c r="I68" s="40" t="str"/>
      <x:c r="J68" s="34" t="str">
        <x:v>A2</x:v>
      </x:c>
      <x:c r="K68" s="34" t="str">
        <x:v>1.0</x:v>
      </x:c>
      <x:c r="L68" s="35" t="str">
        <x:f>IF(AND(E68="",F68="",G68="",H68="",I68=""),"",IF(OR(AND(H68="UNCLEAR",E68="",F68="",G68="",I68&lt;&gt;""),AND(H68="LABELED",COUNTIFS(Taksonomi!$A$5:$A$13,E68,Taksonomi!$B$5:$B$13,F68)=1,OR(G68="",AND(COUNTIF(Taksonomi!$D$4:$D$6,G68)=1,G68&lt;&gt;E68)))),"OK","PERIKSA"))</x:f>
      </x:c>
    </x:row>
    <x:row r="69" ht="145" customHeight="1">
      <x:c r="A69" s="34" t="str">
        <x:v>2024395241391083909</x:v>
      </x:c>
      <x:c r="B69" s="34" t="str">
        <x:v>2024359625244774442</x:v>
      </x:c>
      <x:c r="C69"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69" s="34" t="str">
        <x:v>'@menuembegejelek Minuman rasa susu 😭😭😭😭</x:v>
      </x:c>
      <x:c r="E69" s="40" t="str"/>
      <x:c r="F69" s="40" t="str"/>
      <x:c r="G69" s="40" t="str"/>
      <x:c r="H69" s="40" t="str"/>
      <x:c r="I69" s="40" t="str"/>
      <x:c r="J69" s="34" t="str">
        <x:v>A2</x:v>
      </x:c>
      <x:c r="K69" s="34" t="str">
        <x:v>1.0</x:v>
      </x:c>
      <x:c r="L69" s="35" t="str">
        <x:f>IF(AND(E69="",F69="",G69="",H69="",I69=""),"",IF(OR(AND(H69="UNCLEAR",E69="",F69="",G69="",I69&lt;&gt;""),AND(H69="LABELED",COUNTIFS(Taksonomi!$A$5:$A$13,E69,Taksonomi!$B$5:$B$13,F69)=1,OR(G69="",AND(COUNTIF(Taksonomi!$D$4:$D$6,G69)=1,G69&lt;&gt;E69)))),"OK","PERIKSA"))</x:f>
      </x:c>
    </x:row>
    <x:row r="70" ht="145" customHeight="1">
      <x:c r="A70" s="34" t="str">
        <x:v>2008609566284804551</x:v>
      </x:c>
      <x:c r="B70" s="34" t="str">
        <x:v>2008397368291655752</x:v>
      </x:c>
      <x:c r="C70" s="34" t="str">
        <x:v>Prabowo Subianto addresses claims the MBG program is being used to gather public support for the 2029 presidential race:
“Tapi kalau rakyat milih saya tahun 2029, apa salah saya?” https://t.co/e17Gi92iG3</x:v>
      </x:c>
      <x:c r="D70" s="34" t="str">
        <x:v>'@iPopBase Makanya jadi Rakyat harus cerdas memilih Pemimpin jangan mau ditipu dengan Bansos, sembako, nasi kotak sama uang....dengan salah milih berhujung kepada nasib kita kedepan</x:v>
      </x:c>
      <x:c r="E70" s="40" t="str"/>
      <x:c r="F70" s="40" t="str"/>
      <x:c r="G70" s="40" t="str"/>
      <x:c r="H70" s="40" t="str"/>
      <x:c r="I70" s="40" t="str"/>
      <x:c r="J70" s="34" t="str">
        <x:v>A2</x:v>
      </x:c>
      <x:c r="K70" s="34" t="str">
        <x:v>1.0</x:v>
      </x:c>
      <x:c r="L70" s="35" t="str">
        <x:f>IF(AND(E70="",F70="",G70="",H70="",I70=""),"",IF(OR(AND(H70="UNCLEAR",E70="",F70="",G70="",I70&lt;&gt;""),AND(H70="LABELED",COUNTIFS(Taksonomi!$A$5:$A$13,E70,Taksonomi!$B$5:$B$13,F70)=1,OR(G70="",AND(COUNTIF(Taksonomi!$D$4:$D$6,G70)=1,G70&lt;&gt;E70)))),"OK","PERIKSA"))</x:f>
      </x:c>
    </x:row>
    <x:row r="71" ht="145" customHeight="1">
      <x:c r="A71" s="34" t="str">
        <x:v>2023622196955095132</x:v>
      </x:c>
      <x:c r="B71" s="34" t="str">
        <x:v>2022994964255486420</x:v>
      </x:c>
      <x:c r="C71"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71" s="34" t="str">
        <x:v>'@menuembegejelek Bajingan ini pegawai sppg kalo bener ngomong begini</x:v>
      </x:c>
      <x:c r="E71" s="40" t="str"/>
      <x:c r="F71" s="40" t="str"/>
      <x:c r="G71" s="40" t="str"/>
      <x:c r="H71" s="40" t="str"/>
      <x:c r="I71" s="40" t="str"/>
      <x:c r="J71" s="34" t="str">
        <x:v>A2</x:v>
      </x:c>
      <x:c r="K71" s="34" t="str">
        <x:v>1.0</x:v>
      </x:c>
      <x:c r="L71" s="35" t="str">
        <x:f>IF(AND(E71="",F71="",G71="",H71="",I71=""),"",IF(OR(AND(H71="UNCLEAR",E71="",F71="",G71="",I71&lt;&gt;""),AND(H71="LABELED",COUNTIFS(Taksonomi!$A$5:$A$13,E71,Taksonomi!$B$5:$B$13,F71)=1,OR(G71="",AND(COUNTIF(Taksonomi!$D$4:$D$6,G71)=1,G71&lt;&gt;E71)))),"OK","PERIKSA"))</x:f>
      </x:c>
    </x:row>
    <x:row r="72" ht="145" customHeight="1">
      <x:c r="A72" s="34" t="str">
        <x:v>2021946679810044239</x:v>
      </x:c>
      <x:c r="B72" s="34" t="str">
        <x:v>2021887009606783070</x:v>
      </x:c>
      <x:c r="C72" s="34" t="str">
        <x:v>Purbaya: Jangan Terus Persoalkan Makan Bergizi Gratis https://t.co/K8FzkM8oSd</x:v>
      </x:c>
      <x:c r="D72" s="34" t="str">
        <x:v>'@tempodotco Ya jelas jadi persoalan kok. Makan Begizi Gratis tapi tidak dimakan siswa karena udah bau amis, gak selera, jadi gak masuk gizinya. Belum lagi kasus keracunan. Kasus ketimpangan kesejahteraan guru dan SPPG. Transparansi keuangan SPPG, masa ada yang bagus ada yang seadanya</x:v>
      </x:c>
      <x:c r="E72" s="40" t="str"/>
      <x:c r="F72" s="40" t="str"/>
      <x:c r="G72" s="40" t="str"/>
      <x:c r="H72" s="40" t="str"/>
      <x:c r="I72" s="40" t="str"/>
      <x:c r="J72" s="34" t="str">
        <x:v>A2</x:v>
      </x:c>
      <x:c r="K72" s="34" t="str">
        <x:v>1.0</x:v>
      </x:c>
      <x:c r="L72" s="35" t="str">
        <x:f>IF(AND(E72="",F72="",G72="",H72="",I72=""),"",IF(OR(AND(H72="UNCLEAR",E72="",F72="",G72="",I72&lt;&gt;""),AND(H72="LABELED",COUNTIFS(Taksonomi!$A$5:$A$13,E72,Taksonomi!$B$5:$B$13,F72)=1,OR(G72="",AND(COUNTIF(Taksonomi!$D$4:$D$6,G72)=1,G72&lt;&gt;E72)))),"OK","PERIKSA"))</x:f>
      </x:c>
    </x:row>
    <x:row r="73" ht="145" customHeight="1">
      <x:c r="A73" s="34" t="str">
        <x:v>2008812829470761041</x:v>
      </x:c>
      <x:c r="B73" s="34" t="str">
        <x:v>2008397368291655752</x:v>
      </x:c>
      <x:c r="C73" s="34" t="str">
        <x:v>Prabowo Subianto addresses claims the MBG program is being used to gather public support for the 2029 presidential race:
“Tapi kalau rakyat milih saya tahun 2029, apa salah saya?” https://t.co/e17Gi92iG3</x:v>
      </x:c>
      <x:c r="D73" s="34" t="str">
        <x:v>'@iPopBase MBG bertujuan untuk meningkatkan kualitas gizi masyarakat, khususnya anak dan kelompok rentan, guna mendukung kesehatan, tumbuh kembang, serta produktivitas sumber daya manusia secara berkelanjutan. Pemerintah sukses dalam membuat rakyat sejahtera</x:v>
      </x:c>
      <x:c r="E73" s="40" t="str"/>
      <x:c r="F73" s="40" t="str"/>
      <x:c r="G73" s="40" t="str"/>
      <x:c r="H73" s="40" t="str"/>
      <x:c r="I73" s="40" t="str"/>
      <x:c r="J73" s="34" t="str">
        <x:v>A2</x:v>
      </x:c>
      <x:c r="K73" s="34" t="str">
        <x:v>1.0</x:v>
      </x:c>
      <x:c r="L73" s="35" t="str">
        <x:f>IF(AND(E73="",F73="",G73="",H73="",I73=""),"",IF(OR(AND(H73="UNCLEAR",E73="",F73="",G73="",I73&lt;&gt;""),AND(H73="LABELED",COUNTIFS(Taksonomi!$A$5:$A$13,E73,Taksonomi!$B$5:$B$13,F73)=1,OR(G73="",AND(COUNTIF(Taksonomi!$D$4:$D$6,G73)=1,G73&lt;&gt;E73)))),"OK","PERIKSA"))</x:f>
      </x:c>
    </x:row>
    <x:row r="74" ht="145" customHeight="1">
      <x:c r="A74" s="34" t="str">
        <x:v>1905586022790107413</x:v>
      </x:c>
      <x:c r="B74" s="34" t="str">
        <x:v>1905542613962555636</x:v>
      </x:c>
      <x:c r="C74" s="34" t="str">
        <x:v>Mantap Pak @prabowo TRISAKTI NO SCOPE 🗣️🔥🔥 #MBG https://t.co/gV8GBTCazW</x:v>
      </x:c>
      <x:c r="D74" s="34" t="str">
        <x:v>'@Kodokodar @prabowo Voters muda omke gas gaakan ngerti meme ini 💀</x:v>
      </x:c>
      <x:c r="E74" s="40" t="str"/>
      <x:c r="F74" s="40" t="str"/>
      <x:c r="G74" s="40" t="str"/>
      <x:c r="H74" s="40" t="str"/>
      <x:c r="I74" s="40" t="str"/>
      <x:c r="J74" s="34" t="str">
        <x:v>A2</x:v>
      </x:c>
      <x:c r="K74" s="34" t="str">
        <x:v>1.0</x:v>
      </x:c>
      <x:c r="L74" s="35" t="str">
        <x:f>IF(AND(E74="",F74="",G74="",H74="",I74=""),"",IF(OR(AND(H74="UNCLEAR",E74="",F74="",G74="",I74&lt;&gt;""),AND(H74="LABELED",COUNTIFS(Taksonomi!$A$5:$A$13,E74,Taksonomi!$B$5:$B$13,F74)=1,OR(G74="",AND(COUNTIF(Taksonomi!$D$4:$D$6,G74)=1,G74&lt;&gt;E74)))),"OK","PERIKSA"))</x:f>
      </x:c>
    </x:row>
    <x:row r="75" ht="145" customHeight="1">
      <x:c r="A75" s="34" t="str">
        <x:v>1984152549596049432</x:v>
      </x:c>
      <x:c r="B75" s="34" t="str">
        <x:v>1984120887533293716</x:v>
      </x:c>
      <x:c r="C75" s="34" t="str">
        <x:v>Prabowo Subianto addresses Polri involvement in MBG:
“Kalau kau berangkat ke Barat, mungkin mereka juga merasa aneh, 'kok polisi urusin jagung?' Oh, masa polisi kok buka dapur?' Ya ini Indonesia, bung.”
(https://t.co/eROrX0XBGb) https://t.co/XVzmfCVKIH</x:v>
      </x:c>
      <x:c r="D75" s="34" t="str">
        <x:v>'@IndoPopBase to dolist fufummfamfa :
senin : ngundi dorprize lomba mancing.
selasa : bagi - bagi kaos.
rabu : makan pempek tumpah.
kamis : nanem jagung.
jumat : pengajian gus miftah.
sabtu : sidak MBG
minggu : libur https://t.co/T6ywvZYldi</x:v>
      </x:c>
      <x:c r="E75" s="40" t="str"/>
      <x:c r="F75" s="40" t="str"/>
      <x:c r="G75" s="40" t="str"/>
      <x:c r="H75" s="40" t="str"/>
      <x:c r="I75" s="40" t="str"/>
      <x:c r="J75" s="34" t="str">
        <x:v>A2</x:v>
      </x:c>
      <x:c r="K75" s="34" t="str">
        <x:v>1.0</x:v>
      </x:c>
      <x:c r="L75" s="35" t="str">
        <x:f>IF(AND(E75="",F75="",G75="",H75="",I75=""),"",IF(OR(AND(H75="UNCLEAR",E75="",F75="",G75="",I75&lt;&gt;""),AND(H75="LABELED",COUNTIFS(Taksonomi!$A$5:$A$13,E75,Taksonomi!$B$5:$B$13,F75)=1,OR(G75="",AND(COUNTIF(Taksonomi!$D$4:$D$6,G75)=1,G75&lt;&gt;E75)))),"OK","PERIKSA"))</x:f>
      </x:c>
    </x:row>
    <x:row r="76" ht="145" customHeight="1">
      <x:c r="A76" s="34" t="str">
        <x:v>1893331391213117535</x:v>
      </x:c>
      <x:c r="B76" s="34" t="str">
        <x:v>1893329929158434934</x:v>
      </x:c>
      <x:c r="C76" s="34" t="str">
        <x:v>Alhamdulillah, hari ini saya berkesempatan kembali bersilaturahmi dengan rekan-rekan Pimpinan Redaksi (Pimred) serta tokoh-tokoh senior media di Padepokan Garuda Yaksa, Hambalang, Bogor, Jawa Barat.
Setelah hampir 20 bulan sejak pertemuan terakhir pada 18 Juni 2023, akhirnya hari ini kami kembali bertemu dalam suasana penuh kehangatan dan kebersamaan selama enam jam.
Kami berdiskusi dan bertukar pandangan mengenai berbagai isu serta kebijakan strategis, di mana media memegang peran penting sebagai ujung tombak penyampaian informasi yang utuh dan terpercaya kepada masyarakat.
Semoga pertemuan ini semakin memperkuat sinergi dan kontribusi media dalam membangun bangsa.</x:v>
      </x:c>
      <x:c r="D76" s="34" t="str">
        <x:v>Ahh inilah sebabnya.. prioritas anggaran besar negara untuk media itu benar adanya, dan banyak suara makin terbungkam. 
As Elon said: "you are the media now!"</x:v>
      </x:c>
      <x:c r="E76" s="40" t="str"/>
      <x:c r="F76" s="40" t="str"/>
      <x:c r="G76" s="40" t="str"/>
      <x:c r="H76" s="40" t="str"/>
      <x:c r="I76" s="40" t="str"/>
      <x:c r="J76" s="34" t="str">
        <x:v>A2</x:v>
      </x:c>
      <x:c r="K76" s="34" t="str">
        <x:v>1.0</x:v>
      </x:c>
      <x:c r="L76" s="35" t="str">
        <x:f>IF(AND(E76="",F76="",G76="",H76="",I76=""),"",IF(OR(AND(H76="UNCLEAR",E76="",F76="",G76="",I76&lt;&gt;""),AND(H76="LABELED",COUNTIFS(Taksonomi!$A$5:$A$13,E76,Taksonomi!$B$5:$B$13,F76)=1,OR(G76="",AND(COUNTIF(Taksonomi!$D$4:$D$6,G76)=1,G76&lt;&gt;E76)))),"OK","PERIKSA"))</x:f>
      </x:c>
    </x:row>
    <x:row r="77" ht="145" customHeight="1">
      <x:c r="A77" s="34" t="str">
        <x:v>1881979115219419594</x:v>
      </x:c>
      <x:c r="B77" s="34" t="str">
        <x:v>1881977601486422477</x:v>
      </x:c>
      <x:c r="C77" s="34" t="str">
        <x:v>Curhat Ibu Kantin: Mulai Dagang Nasi sejak 1983, Berhenti karena Makan Bergizi Gratis
https://t.co/mLt8ZnLc57</x:v>
      </x:c>
      <x:c r="D77" s="34" t="str">
        <x:v>'@tempodotco Demi "janji kampanye" mengorbankan pelaku UMKM
Kok setiap hari mereka bisa ya tidur tenang tiap malam?
Dan ga takut apa sesudah kehidupan fana ini berakhir apa yg akan terjadi pada mereka di alam kubur dan seterusnya?</x:v>
      </x:c>
      <x:c r="E77" s="40" t="str"/>
      <x:c r="F77" s="40" t="str"/>
      <x:c r="G77" s="40" t="str"/>
      <x:c r="H77" s="40" t="str"/>
      <x:c r="I77" s="40" t="str"/>
      <x:c r="J77" s="34" t="str">
        <x:v>A2</x:v>
      </x:c>
      <x:c r="K77" s="34" t="str">
        <x:v>1.0</x:v>
      </x:c>
      <x:c r="L77" s="35" t="str">
        <x:f>IF(AND(E77="",F77="",G77="",H77="",I77=""),"",IF(OR(AND(H77="UNCLEAR",E77="",F77="",G77="",I77&lt;&gt;""),AND(H77="LABELED",COUNTIFS(Taksonomi!$A$5:$A$13,E77,Taksonomi!$B$5:$B$13,F77)=1,OR(G77="",AND(COUNTIF(Taksonomi!$D$4:$D$6,G77)=1,G77&lt;&gt;E77)))),"OK","PERIKSA"))</x:f>
      </x:c>
    </x:row>
    <x:row r="78" ht="145" customHeight="1">
      <x:c r="A78" s="34" t="str">
        <x:v>1891063597821792408</x:v>
      </x:c>
      <x:c r="B78" s="34" t="str">
        <x:v>1891006572928602218</x:v>
      </x:c>
      <x:c r="C78" s="34" t="str">
        <x:v>Presiden Prabowo Subianto mengatakan, pemerintah terpaksa menggunakan dana hasil efisiensi anggaran sebesar Rp 24 triliun untuk mendukung program Makan Bergizi Gratis (MBG). | #Prabowo #MakanSiangGratis #EfisiensiAnggaran 
https://t.co/6db6dqQkWE</x:v>
      </x:c>
      <x:c r="D78" s="34" t="str">
        <x:v>'@kompascom Terpaksa</x:v>
      </x:c>
      <x:c r="E78" s="40" t="str"/>
      <x:c r="F78" s="40" t="str"/>
      <x:c r="G78" s="40" t="str"/>
      <x:c r="H78" s="40" t="str"/>
      <x:c r="I78" s="40" t="str"/>
      <x:c r="J78" s="34" t="str">
        <x:v>A2</x:v>
      </x:c>
      <x:c r="K78" s="34" t="str">
        <x:v>1.0</x:v>
      </x:c>
      <x:c r="L78" s="35" t="str">
        <x:f>IF(AND(E78="",F78="",G78="",H78="",I78=""),"",IF(OR(AND(H78="UNCLEAR",E78="",F78="",G78="",I78&lt;&gt;""),AND(H78="LABELED",COUNTIFS(Taksonomi!$A$5:$A$13,E78,Taksonomi!$B$5:$B$13,F78)=1,OR(G78="",AND(COUNTIF(Taksonomi!$D$4:$D$6,G78)=1,G78&lt;&gt;E78)))),"OK","PERIKSA"))</x:f>
      </x:c>
    </x:row>
    <x:row r="79" ht="145" customHeight="1">
      <x:c r="A79" s="34" t="str">
        <x:v>1919899713643676024</x:v>
      </x:c>
      <x:c r="B79" s="34" t="str">
        <x:v>1919682613088027096</x:v>
      </x:c>
      <x:c r="C79" s="34" t="str">
        <x:v>Presiden RI Prabowo Subianto mengatakan, program Makan Bergizi Gratis atau MBG tidak berjalan lancar karena berkaitan dengan adat dan tradisi makan langsung menggunakan tangan.
~MD #Keracunan #MBG #Prabowo https://t.co/Uc9SSJDnh3</x:v>
      </x:c>
      <x:c r="D79" s="34" t="str">
        <x:v>'@kompascom Mungkin perlu dievaluasi buat dapur" Kecil" saja sambil berdayakan UMKM/kantin disekitar sekolah" yg ada, lebih mudah pendistribusian makanan, mudah pengawasan, mudah pertanggung jawaban.. Tapi ada yg lebih penting.. Minimalisir premanisme, LSM, wartawan ilegal</x:v>
      </x:c>
      <x:c r="E79" s="40" t="str"/>
      <x:c r="F79" s="40" t="str"/>
      <x:c r="G79" s="40" t="str"/>
      <x:c r="H79" s="40" t="str"/>
      <x:c r="I79" s="40" t="str"/>
      <x:c r="J79" s="34" t="str">
        <x:v>A2</x:v>
      </x:c>
      <x:c r="K79" s="34" t="str">
        <x:v>1.0</x:v>
      </x:c>
      <x:c r="L79" s="35" t="str">
        <x:f>IF(AND(E79="",F79="",G79="",H79="",I79=""),"",IF(OR(AND(H79="UNCLEAR",E79="",F79="",G79="",I79&lt;&gt;""),AND(H79="LABELED",COUNTIFS(Taksonomi!$A$5:$A$13,E79,Taksonomi!$B$5:$B$13,F79)=1,OR(G79="",AND(COUNTIF(Taksonomi!$D$4:$D$6,G79)=1,G79&lt;&gt;E79)))),"OK","PERIKSA"))</x:f>
      </x:c>
    </x:row>
    <x:row r="80" ht="145" customHeight="1">
      <x:c r="A80" s="34" t="str">
        <x:v>2019624582110671252</x:v>
      </x:c>
      <x:c r="B80" s="34" t="str">
        <x:v>2019440648877658550</x:v>
      </x:c>
      <x:c r="C80" s="34" t="str">
        <x:v>Wkwkwwkwkw jabingan menu EMBEGE MODEL OPO IKI COOOOKK. Malah koyok bar jajan seko warung meduroo njirrr. SPPGne over confidence tenann bajilaaakk https://t.co/OA8zlBZtdB</x:v>
      </x:c>
      <x:c r="D80" s="34" t="str">
        <x:v>Mumpung ramai, adakah di sini yang ahli gizi / nutritionist? Sini saya follow. Terserah apakah kalian kerja di SPPG atau engga, yang penting kalian aktif menyuarakan dampak-dampak MBG</x:v>
      </x:c>
      <x:c r="E80" s="40" t="str"/>
      <x:c r="F80" s="40" t="str"/>
      <x:c r="G80" s="40" t="str"/>
      <x:c r="H80" s="40" t="str"/>
      <x:c r="I80" s="40" t="str"/>
      <x:c r="J80" s="34" t="str">
        <x:v>A2</x:v>
      </x:c>
      <x:c r="K80" s="34" t="str">
        <x:v>1.0</x:v>
      </x:c>
      <x:c r="L80" s="35" t="str">
        <x:f>IF(AND(E80="",F80="",G80="",H80="",I80=""),"",IF(OR(AND(H80="UNCLEAR",E80="",F80="",G80="",I80&lt;&gt;""),AND(H80="LABELED",COUNTIFS(Taksonomi!$A$5:$A$13,E80,Taksonomi!$B$5:$B$13,F80)=1,OR(G80="",AND(COUNTIF(Taksonomi!$D$4:$D$6,G80)=1,G80&lt;&gt;E80)))),"OK","PERIKSA"))</x:f>
      </x:c>
    </x:row>
    <x:row r="81" ht="145" customHeight="1">
      <x:c r="A81" s="34" t="str">
        <x:v>1920346131424219276</x:v>
      </x:c>
      <x:c r="B81" s="34" t="str">
        <x:v>1920311274795147520</x:v>
      </x:c>
      <x:c r="C81" s="34" t="str">
        <x:v>Yayasan Bill &amp;amp; Melinda Gates (Gates Foundation) menyatakan tidak terlibat dalam Program Makan Bergizi Gratis (MBG) di Indonesia.
~SA #BillGates #MBG #GatesFoundation
https://t.co/iDSrxbTveF</x:v>
      </x:c>
      <x:c r="D81" s="34" t="str">
        <x:v>'@kompascom Prabowo, hati² diracuni program² sesat Bill Gates/vaksin TBC berdalih "bantuan", malah rentan penyakitan/ketergantungan obat imbas dikeruk dana kesehatan, agar tolak jangan korbankan aset² anak bangsa, uang &amp;amp; sumberdaya alam.
Salahsatu cara kapital-feodalis cari untung sendiri.</x:v>
      </x:c>
      <x:c r="E81" s="40" t="str"/>
      <x:c r="F81" s="40" t="str"/>
      <x:c r="G81" s="40" t="str"/>
      <x:c r="H81" s="40" t="str"/>
      <x:c r="I81" s="40" t="str"/>
      <x:c r="J81" s="34" t="str">
        <x:v>A2</x:v>
      </x:c>
      <x:c r="K81" s="34" t="str">
        <x:v>1.0</x:v>
      </x:c>
      <x:c r="L81" s="35" t="str">
        <x:f>IF(AND(E81="",F81="",G81="",H81="",I81=""),"",IF(OR(AND(H81="UNCLEAR",E81="",F81="",G81="",I81&lt;&gt;""),AND(H81="LABELED",COUNTIFS(Taksonomi!$A$5:$A$13,E81,Taksonomi!$B$5:$B$13,F81)=1,OR(G81="",AND(COUNTIF(Taksonomi!$D$4:$D$6,G81)=1,G81&lt;&gt;E81)))),"OK","PERIKSA"))</x:f>
      </x:c>
    </x:row>
    <x:row r="82" ht="145" customHeight="1">
      <x:c r="A82" s="34" t="str">
        <x:v>1880221536608817423</x:v>
      </x:c>
      <x:c r="B82" s="34" t="str">
        <x:v>1880155596277923881</x:v>
      </x:c>
      <x:c r="C82" s="34" t="str">
        <x:v>Anggota DPR Usul Dana Makan Bergizi Gratis Diambil dari Cukai Rokok
https://t.co/NJgOoA2WvZ</x:v>
      </x:c>
      <x:c r="D82" s="34" t="str">
        <x:v>'@tempodotco Udahlah, kalau memang program ini sulit terealisasi ya batalkan saja, minta maaf, lalu semua anggaran yang telah disiapkan dialihkan ke pendidikan dan kesehatan. Akan banyak hujatan memang, tapi akan lebih banyak yang memuji. Lagipula masyarakat kita ini mudah lupa kok.</x:v>
      </x:c>
      <x:c r="E82" s="40" t="str"/>
      <x:c r="F82" s="40" t="str"/>
      <x:c r="G82" s="40" t="str"/>
      <x:c r="H82" s="40" t="str"/>
      <x:c r="I82" s="40" t="str"/>
      <x:c r="J82" s="34" t="str">
        <x:v>A2</x:v>
      </x:c>
      <x:c r="K82" s="34" t="str">
        <x:v>1.0</x:v>
      </x:c>
      <x:c r="L82" s="35" t="str">
        <x:f>IF(AND(E82="",F82="",G82="",H82="",I82=""),"",IF(OR(AND(H82="UNCLEAR",E82="",F82="",G82="",I82&lt;&gt;""),AND(H82="LABELED",COUNTIFS(Taksonomi!$A$5:$A$13,E82,Taksonomi!$B$5:$B$13,F82)=1,OR(G82="",AND(COUNTIF(Taksonomi!$D$4:$D$6,G82)=1,G82&lt;&gt;E82)))),"OK","PERIKSA"))</x:f>
      </x:c>
    </x:row>
    <x:row r="83" ht="145" customHeight="1">
      <x:c r="A83" s="34" t="str">
        <x:v>1889614776017236007</x:v>
      </x:c>
      <x:c r="B83" s="34" t="str">
        <x:v>1889587856714125570</x:v>
      </x:c>
      <x:c r="C83" s="34" t="str">
        <x:v>Ternyata Makan bergizi gratis gak ada gratis-gratisnya ya? biayanya pakai kehilangan pekerjaan ayah nya ya?
Kenapa sih hal kecil kaya gini aja harus bohong</x:v>
      </x:c>
      <x:c r="D83" s="34" t="str">
        <x:v>'@hrdbacot padahal orang kalo paham konsep uang, pasti mengerti kalo tidak ada yang gratis di dunia ini. pasti ada harga yg harus dibayar
apalagi utk program yang berjalan tiap hari dalam periode lama dan jangkauan yang luas, tidak mungkin tdk ada syarat dan ketentuan berlaku</x:v>
      </x:c>
      <x:c r="E83" s="40" t="str"/>
      <x:c r="F83" s="40" t="str"/>
      <x:c r="G83" s="40" t="str"/>
      <x:c r="H83" s="40" t="str"/>
      <x:c r="I83" s="40" t="str"/>
      <x:c r="J83" s="34" t="str">
        <x:v>A2</x:v>
      </x:c>
      <x:c r="K83" s="34" t="str">
        <x:v>1.0</x:v>
      </x:c>
      <x:c r="L83" s="35" t="str">
        <x:f>IF(AND(E83="",F83="",G83="",H83="",I83=""),"",IF(OR(AND(H83="UNCLEAR",E83="",F83="",G83="",I83&lt;&gt;""),AND(H83="LABELED",COUNTIFS(Taksonomi!$A$5:$A$13,E83,Taksonomi!$B$5:$B$13,F83)=1,OR(G83="",AND(COUNTIF(Taksonomi!$D$4:$D$6,G83)=1,G83&lt;&gt;E83)))),"OK","PERIKSA"))</x:f>
      </x:c>
    </x:row>
    <x:row r="84" ht="145" customHeight="1">
      <x:c r="A84" s="34" t="str">
        <x:v>1964680296563175631</x:v>
      </x:c>
      <x:c r="B84" s="34" t="str">
        <x:v>1963603951690932341</x:v>
      </x:c>
      <x:c r="C84" s="34" t="str">
        <x:v>Alih-alih menurunkan stunting dan meningkatkan gizi anak, program MBG justru mencatat lebih dari 4.000 kasus keracunan makanan hanya dalam 8 bulan pertama pelaksanaan.
Baca di sini: https://t.co/0rRlLx1DLS
~TA #MakanBergiziGratis #Keracunan https://t.co/WQGp6H5wk7</x:v>
      </x:c>
      <x:c r="D84" s="34" t="str">
        <x:v>'@kompascom @prabowo sebaiknya bapak hentikan saja MBG, karena tidak efektif dan efisien. pihak guru, pengawas dan dapur bersekongkol untuk menyembunyikan kesalahan seperti basi dll, pedagang UMKM banyak mengeluh karena bahan2 produksi naik terutama ayam.</x:v>
      </x:c>
      <x:c r="E84" s="40" t="str"/>
      <x:c r="F84" s="40" t="str"/>
      <x:c r="G84" s="40" t="str"/>
      <x:c r="H84" s="40" t="str"/>
      <x:c r="I84" s="40" t="str"/>
      <x:c r="J84" s="34" t="str">
        <x:v>A2</x:v>
      </x:c>
      <x:c r="K84" s="34" t="str">
        <x:v>1.0</x:v>
      </x:c>
      <x:c r="L84" s="35" t="str">
        <x:f>IF(AND(E84="",F84="",G84="",H84="",I84=""),"",IF(OR(AND(H84="UNCLEAR",E84="",F84="",G84="",I84&lt;&gt;""),AND(H84="LABELED",COUNTIFS(Taksonomi!$A$5:$A$13,E84,Taksonomi!$B$5:$B$13,F84)=1,OR(G84="",AND(COUNTIF(Taksonomi!$D$4:$D$6,G84)=1,G84&lt;&gt;E84)))),"OK","PERIKSA"))</x:f>
      </x:c>
    </x:row>
    <x:row r="85" ht="145" customHeight="1">
      <x:c r="A85" s="34" t="str">
        <x:v>1912680091899109521</x:v>
      </x:c>
      <x:c r="B85" s="34" t="str">
        <x:v>1912349181479645350</x:v>
      </x:c>
      <x:c r="C85" s="34" t="str">
        <x:v>Salah satu dapur Makan Bergizi Gratis (MBG) di Kalibata terpaksa berhenti beroperasi sejak akhir Maret 2025.
/ #MakanBergiziGratis 
https://t.co/NX9Ab5MfIA</x:v>
      </x:c>
      <x:c r="D85" s="34" t="str">
        <x:v>'@kompascom @jagaNKRI__ Bener2 Makan gratis.. Alias yayasan SPPG engga bayar, lari dr tanggung jawab terhadap mitra nya</x:v>
      </x:c>
      <x:c r="E85" s="40" t="str"/>
      <x:c r="F85" s="40" t="str"/>
      <x:c r="G85" s="40" t="str"/>
      <x:c r="H85" s="40" t="str"/>
      <x:c r="I85" s="40" t="str"/>
      <x:c r="J85" s="34" t="str">
        <x:v>A2</x:v>
      </x:c>
      <x:c r="K85" s="34" t="str">
        <x:v>1.0</x:v>
      </x:c>
      <x:c r="L85" s="35" t="str">
        <x:f>IF(AND(E85="",F85="",G85="",H85="",I85=""),"",IF(OR(AND(H85="UNCLEAR",E85="",F85="",G85="",I85&lt;&gt;""),AND(H85="LABELED",COUNTIFS(Taksonomi!$A$5:$A$13,E85,Taksonomi!$B$5:$B$13,F85)=1,OR(G85="",AND(COUNTIF(Taksonomi!$D$4:$D$6,G85)=1,G85&lt;&gt;E85)))),"OK","PERIKSA"))</x:f>
      </x:c>
    </x:row>
    <x:row r="86" ht="145" customHeight="1">
      <x:c r="A86" s="34" t="str">
        <x:v>1848802055370248568</x:v>
      </x:c>
      <x:c r="B86" s="34" t="str">
        <x:v>1848726518916387212</x:v>
      </x:c>
      <x:c r="C86" s="34" t="str">
        <x:v>Budiman Sudjatmiko Targetkan Masyarakat Miskin jadi Pemasok Makan Bergizi Gratis https://t.co/x7WMwMP47Q #TempoVideo</x:v>
      </x:c>
      <x:c r="D86" s="34" t="str">
        <x:v>'@tempodotco Saya rasa 5 th ke depan kita akan seting menikmati muncul menteri2 irrasional di X</x:v>
      </x:c>
      <x:c r="E86" s="40" t="str"/>
      <x:c r="F86" s="40" t="str"/>
      <x:c r="G86" s="40" t="str"/>
      <x:c r="H86" s="40" t="str"/>
      <x:c r="I86" s="40" t="str"/>
      <x:c r="J86" s="34" t="str">
        <x:v>A2</x:v>
      </x:c>
      <x:c r="K86" s="34" t="str">
        <x:v>1.0</x:v>
      </x:c>
      <x:c r="L86" s="35" t="str">
        <x:f>IF(AND(E86="",F86="",G86="",H86="",I86=""),"",IF(OR(AND(H86="UNCLEAR",E86="",F86="",G86="",I86&lt;&gt;""),AND(H86="LABELED",COUNTIFS(Taksonomi!$A$5:$A$13,E86,Taksonomi!$B$5:$B$13,F86)=1,OR(G86="",AND(COUNTIF(Taksonomi!$D$4:$D$6,G86)=1,G86&lt;&gt;E86)))),"OK","PERIKSA"))</x:f>
      </x:c>
    </x:row>
    <x:row r="87" ht="145" customHeight="1">
      <x:c r="A87" s="34" t="str">
        <x:v>1805398658193543255</x:v>
      </x:c>
      <x:c r="B87" s="34" t="str">
        <x:v>1805116723743580405</x:v>
      </x:c>
      <x:c r="C87" s="34" t="str">
        <x:v>Menteri Keuangan Sri Mulyani Indrawati mengumumkan pemerintah saat ini dan presiden terpilih menyepakati anggaran makan bergizi gratis sebesar Rp 71 triliun pada 2025.
#TempoHeadliner https://t.co/9FefbrHgIo</x:v>
      </x:c>
      <x:c r="D87" s="34" t="str">
        <x:v>'@tempodotco benerin harga pokok dulu aja deh bu, kan lumayan banget kalau harga telur murah, nutrisi keluarga terpenuhi, bisa makan telur tanpa merasa bersalah atau boros, nggak ada lagi keluarga yang makan satu telur dipotong potong jadi banyak. kalau nggak bisa murah minimal stabil.</x:v>
      </x:c>
      <x:c r="E87" s="40" t="str"/>
      <x:c r="F87" s="40" t="str"/>
      <x:c r="G87" s="40" t="str"/>
      <x:c r="H87" s="40" t="str"/>
      <x:c r="I87" s="40" t="str"/>
      <x:c r="J87" s="34" t="str">
        <x:v>A2</x:v>
      </x:c>
      <x:c r="K87" s="34" t="str">
        <x:v>1.0</x:v>
      </x:c>
      <x:c r="L87" s="35" t="str">
        <x:f>IF(AND(E87="",F87="",G87="",H87="",I87=""),"",IF(OR(AND(H87="UNCLEAR",E87="",F87="",G87="",I87&lt;&gt;""),AND(H87="LABELED",COUNTIFS(Taksonomi!$A$5:$A$13,E87,Taksonomi!$B$5:$B$13,F87)=1,OR(G87="",AND(COUNTIF(Taksonomi!$D$4:$D$6,G87)=1,G87&lt;&gt;E87)))),"OK","PERIKSA"))</x:f>
      </x:c>
    </x:row>
    <x:row r="88" ht="145" customHeight="1">
      <x:c r="A88" s="34" t="str">
        <x:v>1882388243972493800</x:v>
      </x:c>
      <x:c r="B88" s="34" t="str">
        <x:v>1882269527884562467</x:v>
      </x:c>
      <x:c r="C88" s="34" t="str">
        <x:v>100 Hari Kerja Gibran: Blusukan, Bagi Bansos, Cek Makan Bergizi Gratis, hingga Bikin Lapor Mas Wapres
https://t.co/tjrX6cpubG</x:v>
      </x:c>
      <x:c r="D88" s="34" t="str">
        <x:v>'@tempodotco Urusan negara banyak yang lebih urgent yang dia urus citranya sendiri mulu sama gegaresan
Coba lu urus konflik di perbatasan papua, urus hgb laut &amp;amp; beberapa temuan pagar lain di laut, urus citra kepolisian yang makin anjlok gimana biar bisa balik dll</x:v>
      </x:c>
      <x:c r="E88" s="40" t="str"/>
      <x:c r="F88" s="40" t="str"/>
      <x:c r="G88" s="40" t="str"/>
      <x:c r="H88" s="40" t="str"/>
      <x:c r="I88" s="40" t="str"/>
      <x:c r="J88" s="34" t="str">
        <x:v>A2</x:v>
      </x:c>
      <x:c r="K88" s="34" t="str">
        <x:v>1.0</x:v>
      </x:c>
      <x:c r="L88" s="35" t="str">
        <x:f>IF(AND(E88="",F88="",G88="",H88="",I88=""),"",IF(OR(AND(H88="UNCLEAR",E88="",F88="",G88="",I88&lt;&gt;""),AND(H88="LABELED",COUNTIFS(Taksonomi!$A$5:$A$13,E88,Taksonomi!$B$5:$B$13,F88)=1,OR(G88="",AND(COUNTIF(Taksonomi!$D$4:$D$6,G88)=1,G88&lt;&gt;E88)))),"OK","PERIKSA"))</x:f>
      </x:c>
    </x:row>
    <x:row r="89" ht="145" customHeight="1">
      <x:c r="A89" s="34" t="str">
        <x:v>1893953590441521437</x:v>
      </x:c>
      <x:c r="B89" s="34" t="str">
        <x:v>1893915755403460863</x:v>
      </x:c>
      <x:c r="C89" s="34" t="str">
        <x:v>Solidaritas pelajar Paniai.
Papua.
Tolak.#MBG,kami minta pendidikan
Gratis. https://t.co/5nHldObPST</x:v>
      </x:c>
      <x:c r="D89" s="34" t="str">
        <x:v>'@albert_morafia seandainya pelajar  Indonesia yang lain juga mengikuti seperti ini, saya rasa akan bisa menjadi nilai tawar. Pendidikan dan Kesehatan Gratis lebih baik dan diperlukan Rakyat, daripada makan gratis.</x:v>
      </x:c>
      <x:c r="E89" s="40" t="str"/>
      <x:c r="F89" s="40" t="str"/>
      <x:c r="G89" s="40" t="str"/>
      <x:c r="H89" s="40" t="str"/>
      <x:c r="I89" s="40" t="str"/>
      <x:c r="J89" s="34" t="str">
        <x:v>A2</x:v>
      </x:c>
      <x:c r="K89" s="34" t="str">
        <x:v>1.0</x:v>
      </x:c>
      <x:c r="L89" s="35" t="str">
        <x:f>IF(AND(E89="",F89="",G89="",H89="",I89=""),"",IF(OR(AND(H89="UNCLEAR",E89="",F89="",G89="",I89&lt;&gt;""),AND(H89="LABELED",COUNTIFS(Taksonomi!$A$5:$A$13,E89,Taksonomi!$B$5:$B$13,F89)=1,OR(G89="",AND(COUNTIF(Taksonomi!$D$4:$D$6,G89)=1,G89&lt;&gt;E89)))),"OK","PERIKSA"))</x:f>
      </x:c>
    </x:row>
    <x:row r="90" ht="145" customHeight="1">
      <x:c r="A90" s="34" t="str">
        <x:v>1815658207689511194</x:v>
      </x:c>
      <x:c r="B90" s="34" t="str">
        <x:v>1815614717593038908</x:v>
      </x:c>
      <x:c r="C90" s="34" t="str">
        <x:v>Gibran ke Bogor Lihat Uji Coba Makan Bergizi Gratis, Makanan Diantar Lewat Gojek https://t.co/2uFsEotkUJ #TempoNasional</x:v>
      </x:c>
      <x:c r="D90" s="34" t="str">
        <x:v>'@tempodotco Ongkirnya brp? Brg harga Rp 7.5ribu, brp biaya kirimnya? Wkwkwk</x:v>
      </x:c>
      <x:c r="E90" s="40" t="str"/>
      <x:c r="F90" s="40" t="str"/>
      <x:c r="G90" s="40" t="str"/>
      <x:c r="H90" s="40" t="str"/>
      <x:c r="I90" s="40" t="str"/>
      <x:c r="J90" s="34" t="str">
        <x:v>A2</x:v>
      </x:c>
      <x:c r="K90" s="34" t="str">
        <x:v>1.0</x:v>
      </x:c>
      <x:c r="L90" s="35" t="str">
        <x:f>IF(AND(E90="",F90="",G90="",H90="",I90=""),"",IF(OR(AND(H90="UNCLEAR",E90="",F90="",G90="",I90&lt;&gt;""),AND(H90="LABELED",COUNTIFS(Taksonomi!$A$5:$A$13,E90,Taksonomi!$B$5:$B$13,F90)=1,OR(G90="",AND(COUNTIF(Taksonomi!$D$4:$D$6,G90)=1,G90&lt;&gt;E90)))),"OK","PERIKSA"))</x:f>
      </x:c>
    </x:row>
    <x:row r="91" ht="145" customHeight="1">
      <x:c r="A91" s="34" t="str">
        <x:v>1960463569134477342</x:v>
      </x:c>
      <x:c r="B91" s="34" t="str">
        <x:v>1960335217694015638</x:v>
      </x:c>
      <x:c r="C91" s="34" t="str">
        <x:v>work! guys skrg lagi banyak loker accounting buat program MBG, aku juga dapet tawaran. please kasih aku insight soal ini karna nyari tau sendiri info upahnya sampe dirapel 3 bulan😭</x:v>
      </x:c>
      <x:c r="D91" s="34" t="str">
        <x:v>'@worksfess aku ditawarin tapi aku ga ambil karena ditrmpatinnya pelosok dan gajinya dirapel</x:v>
      </x:c>
      <x:c r="E91" s="40" t="str"/>
      <x:c r="F91" s="40" t="str"/>
      <x:c r="G91" s="40" t="str"/>
      <x:c r="H91" s="40" t="str"/>
      <x:c r="I91" s="40" t="str"/>
      <x:c r="J91" s="34" t="str">
        <x:v>A2</x:v>
      </x:c>
      <x:c r="K91" s="34" t="str">
        <x:v>1.0</x:v>
      </x:c>
      <x:c r="L91" s="35" t="str">
        <x:f>IF(AND(E91="",F91="",G91="",H91="",I91=""),"",IF(OR(AND(H91="UNCLEAR",E91="",F91="",G91="",I91&lt;&gt;""),AND(H91="LABELED",COUNTIFS(Taksonomi!$A$5:$A$13,E91,Taksonomi!$B$5:$B$13,F91)=1,OR(G91="",AND(COUNTIF(Taksonomi!$D$4:$D$6,G91)=1,G91&lt;&gt;E91)))),"OK","PERIKSA"))</x:f>
      </x:c>
    </x:row>
    <x:row r="92" ht="145" customHeight="1">
      <x:c r="A92" s="34" t="str">
        <x:v>1862712722829533455</x:v>
      </x:c>
      <x:c r="B92" s="34" t="str">
        <x:v>1862466185633452055</x:v>
      </x:c>
      <x:c r="C92" s="34" t="str">
        <x:v>Prabowo sebut anggaran makan bergizi gratis Rp 10.000 per anak dan ibu hamil, kira-kira apa menunya?
#TempoNanya</x:v>
      </x:c>
      <x:c r="D92" s="34" t="str">
        <x:v>'@tempodotco Paket Hemat di rumah makan Padang Rp . 12.000,- daging ayam ukurannya 1/2 dari yang dijual reguler+Nasi+lalapan daun singkong dan kuah campur.</x:v>
      </x:c>
      <x:c r="E92" s="40" t="str"/>
      <x:c r="F92" s="40" t="str"/>
      <x:c r="G92" s="40" t="str"/>
      <x:c r="H92" s="40" t="str"/>
      <x:c r="I92" s="40" t="str"/>
      <x:c r="J92" s="34" t="str">
        <x:v>A2</x:v>
      </x:c>
      <x:c r="K92" s="34" t="str">
        <x:v>1.0</x:v>
      </x:c>
      <x:c r="L92" s="35" t="str">
        <x:f>IF(AND(E92="",F92="",G92="",H92="",I92=""),"",IF(OR(AND(H92="UNCLEAR",E92="",F92="",G92="",I92&lt;&gt;""),AND(H92="LABELED",COUNTIFS(Taksonomi!$A$5:$A$13,E92,Taksonomi!$B$5:$B$13,F92)=1,OR(G92="",AND(COUNTIF(Taksonomi!$D$4:$D$6,G92)=1,G92&lt;&gt;E92)))),"OK","PERIKSA"))</x:f>
      </x:c>
    </x:row>
    <x:row r="93" ht="145" customHeight="1">
      <x:c r="A93" s="34" t="str">
        <x:v>1879554341893439872</x:v>
      </x:c>
      <x:c r="B93" s="34" t="str">
        <x:v>1879418237198250217</x:v>
      </x:c>
      <x:c r="C93" s="34" t="str">
        <x:v>Sepekan Makan Bergizi Gratis, DPR Terima Keluhan Murid-murid Bosan Menunya dan Rasa Tak Enak
https://t.co/fbQoel9jUN</x:v>
      </x:c>
      <x:c r="D93" s="34" t="str">
        <x:v>'@tempodotco Gmana kalau makan siang gratis  d jatah seminggu 3 x bgt, jd gak tiap hari, mengingat anggaran katanya cukup sesak</x:v>
      </x:c>
      <x:c r="E93" s="40" t="str"/>
      <x:c r="F93" s="40" t="str"/>
      <x:c r="G93" s="40" t="str"/>
      <x:c r="H93" s="40" t="str"/>
      <x:c r="I93" s="40" t="str"/>
      <x:c r="J93" s="34" t="str">
        <x:v>A2</x:v>
      </x:c>
      <x:c r="K93" s="34" t="str">
        <x:v>1.0</x:v>
      </x:c>
      <x:c r="L93" s="35" t="str">
        <x:f>IF(AND(E93="",F93="",G93="",H93="",I93=""),"",IF(OR(AND(H93="UNCLEAR",E93="",F93="",G93="",I93&lt;&gt;""),AND(H93="LABELED",COUNTIFS(Taksonomi!$A$5:$A$13,E93,Taksonomi!$B$5:$B$13,F93)=1,OR(G93="",AND(COUNTIF(Taksonomi!$D$4:$D$6,G93)=1,G93&lt;&gt;E93)))),"OK","PERIKSA"))</x:f>
      </x:c>
    </x:row>
    <x:row r="94" ht="145" customHeight="1">
      <x:c r="A94" s="34" t="str">
        <x:v>1863543603689340945</x:v>
      </x:c>
      <x:c r="B94" s="34" t="str">
        <x:v>1863468780275601720</x:v>
      </x:c>
      <x:c r="C94" s="34" t="str">
        <x:v>Anggaran Makan Bergizi Gratis Menciut Jadi Rp 10.000, Ini Versi Warteg Menu Nasi Rp 10.000
📸Tempo/Subekti
#TempoFoto https://t.co/4fQsCMAiVB</x:v>
      </x:c>
      <x:c r="D94" s="34" t="str">
        <x:v>'@tempodotco 10rb belum termasuk biaya packing dan kirim. Bersih sekitar 8rb.</x:v>
      </x:c>
      <x:c r="E94" s="40" t="str"/>
      <x:c r="F94" s="40" t="str"/>
      <x:c r="G94" s="40" t="str"/>
      <x:c r="H94" s="40" t="str"/>
      <x:c r="I94" s="40" t="str"/>
      <x:c r="J94" s="34" t="str">
        <x:v>A2</x:v>
      </x:c>
      <x:c r="K94" s="34" t="str">
        <x:v>1.0</x:v>
      </x:c>
      <x:c r="L94" s="35" t="str">
        <x:f>IF(AND(E94="",F94="",G94="",H94="",I94=""),"",IF(OR(AND(H94="UNCLEAR",E94="",F94="",G94="",I94&lt;&gt;""),AND(H94="LABELED",COUNTIFS(Taksonomi!$A$5:$A$13,E94,Taksonomi!$B$5:$B$13,F94)=1,OR(G94="",AND(COUNTIF(Taksonomi!$D$4:$D$6,G94)=1,G94&lt;&gt;E94)))),"OK","PERIKSA"))</x:f>
      </x:c>
    </x:row>
    <x:row r="95" ht="145" customHeight="1">
      <x:c r="A95" s="34" t="str">
        <x:v>1967963670224543856</x:v>
      </x:c>
      <x:c r="B95" s="34" t="str">
        <x:v>1967503899688087724</x:v>
      </x:c>
      <x:c r="C95" s="34" t="str">
        <x:v>Ini di Brebes guys. Negara itu salah satu tujuannya melindungi segenap bangsa Indonesia. Ini ortu murid disuruh menanggung resiko dari makanan MBG. Pak @prabowo @setkabgoid @KemensetnegRI please.... https://t.co/oeEWaoPBtn</x:v>
      </x:c>
      <x:c r="D95" s="34" t="str">
        <x:v>'@ubegebe1 @prabowo @setkabgoid @KemensetnegRI Emang program sampah cuman buang2 anggaran. Perlu ada class action nih gak  bisa didiamkan saja</x:v>
      </x:c>
      <x:c r="E95" s="40" t="str"/>
      <x:c r="F95" s="40" t="str"/>
      <x:c r="G95" s="40" t="str"/>
      <x:c r="H95" s="40" t="str"/>
      <x:c r="I95" s="40" t="str"/>
      <x:c r="J95" s="34" t="str">
        <x:v>A2</x:v>
      </x:c>
      <x:c r="K95" s="34" t="str">
        <x:v>1.0</x:v>
      </x:c>
      <x:c r="L95" s="35" t="str">
        <x:f>IF(AND(E95="",F95="",G95="",H95="",I95=""),"",IF(OR(AND(H95="UNCLEAR",E95="",F95="",G95="",I95&lt;&gt;""),AND(H95="LABELED",COUNTIFS(Taksonomi!$A$5:$A$13,E95,Taksonomi!$B$5:$B$13,F95)=1,OR(G95="",AND(COUNTIF(Taksonomi!$D$4:$D$6,G95)=1,G95&lt;&gt;E95)))),"OK","PERIKSA"))</x:f>
      </x:c>
    </x:row>
    <x:row r="96" ht="145" customHeight="1">
      <x:c r="A96" s="34" t="str">
        <x:v>1818909957552824477</x:v>
      </x:c>
      <x:c r="B96" s="34" t="str">
        <x:v>1818890941253538185</x:v>
      </x:c>
      <x:c r="C96" s="34" t="str">
        <x:v>Gibran Uji Coba Makan Bergizi Gratis di Surabaya, Anggaran Rp 15 Ribu..🍱
#TempoFoto https://t.co/ufl3iPsfyZ</x:v>
      </x:c>
      <x:c r="D96" s="34" t="str">
        <x:v>'@tempodotco Yaa at the end of the day, pokonya kelakon kan konsepnya</x:v>
      </x:c>
      <x:c r="E96" s="40" t="str"/>
      <x:c r="F96" s="40" t="str"/>
      <x:c r="G96" s="40" t="str"/>
      <x:c r="H96" s="40" t="str"/>
      <x:c r="I96" s="40" t="str"/>
      <x:c r="J96" s="34" t="str">
        <x:v>A2</x:v>
      </x:c>
      <x:c r="K96" s="34" t="str">
        <x:v>1.0</x:v>
      </x:c>
      <x:c r="L96" s="35" t="str">
        <x:f>IF(AND(E96="",F96="",G96="",H96="",I96=""),"",IF(OR(AND(H96="UNCLEAR",E96="",F96="",G96="",I96&lt;&gt;""),AND(H96="LABELED",COUNTIFS(Taksonomi!$A$5:$A$13,E96,Taksonomi!$B$5:$B$13,F96)=1,OR(G96="",AND(COUNTIF(Taksonomi!$D$4:$D$6,G96)=1,G96&lt;&gt;E96)))),"OK","PERIKSA"))</x:f>
      </x:c>
    </x:row>
    <x:row r="97" ht="145" customHeight="1">
      <x:c r="A97" s="34" t="str">
        <x:v>1879170336887087170</x:v>
      </x:c>
      <x:c r="B97" s="34" t="str">
        <x:v>1879114539721183666</x:v>
      </x:c>
      <x:c r="C97" s="34" t="str">
        <x:v>Ketua Dewan Perwakilan Daerah (DPD) RI Sultan Bachtiar Najamudin mengusulkan agar rakyat memberi sumbangan uang untuk program Makan Bergizi Gratis (MBG).
.
Menurutnya, cara itu dapat membantu menyukseskan program pemerintahan Presiden RI Prabowo Subianto dan Wakil Presiden Gibran Rakabuming Raka.
.
Mengingat, kata Sultan, anggaran negara untuk mendanai program tersebut sangat terbatas.
.
Oktaviani/PRMN
.
#MBG #MakanBergiziGratis #Prabowo #Gibran</x:v>
      </x:c>
      <x:c r="D97" s="34" t="str">
        <x:v>'@pikiran_rakyat Bacot nya enteng, rakyat cari makan aja sudah sangat sulit.. Loe enak tolol digaji besar, fasilitas lengkap</x:v>
      </x:c>
      <x:c r="E97" s="40" t="str"/>
      <x:c r="F97" s="40" t="str"/>
      <x:c r="G97" s="40" t="str"/>
      <x:c r="H97" s="40" t="str"/>
      <x:c r="I97" s="40" t="str"/>
      <x:c r="J97" s="34" t="str">
        <x:v>A2</x:v>
      </x:c>
      <x:c r="K97" s="34" t="str">
        <x:v>1.0</x:v>
      </x:c>
      <x:c r="L97" s="35" t="str">
        <x:f>IF(AND(E97="",F97="",G97="",H97="",I97=""),"",IF(OR(AND(H97="UNCLEAR",E97="",F97="",G97="",I97&lt;&gt;""),AND(H97="LABELED",COUNTIFS(Taksonomi!$A$5:$A$13,E97,Taksonomi!$B$5:$B$13,F97)=1,OR(G97="",AND(COUNTIF(Taksonomi!$D$4:$D$6,G97)=1,G97&lt;&gt;E97)))),"OK","PERIKSA"))</x:f>
      </x:c>
    </x:row>
    <x:row r="98" ht="145" customHeight="1">
      <x:c r="A98" s="34" t="str">
        <x:v>1798372562575253789</x:v>
      </x:c>
      <x:c r="B98" s="34" t="str">
        <x:v>1798363964755349864</x:v>
      </x:c>
      <x:c r="C98" s="34" t="str">
        <x:v>Sri Mulyani Yakin Program Makan Bergizi Gratis Prabowo Dongkrak Pertumbuhan Ekonomi, Ini Alasannya https://t.co/ya8K7e912I #TempoBisnis</x:v>
      </x:c>
      <x:c r="D98" s="34" t="str">
        <x:v>'@tempodotco Sudah ketebak siapa menkeu periode selanjutnya</x:v>
      </x:c>
      <x:c r="E98" s="40" t="str"/>
      <x:c r="F98" s="40" t="str"/>
      <x:c r="G98" s="40" t="str"/>
      <x:c r="H98" s="40" t="str"/>
      <x:c r="I98" s="40" t="str"/>
      <x:c r="J98" s="34" t="str">
        <x:v>A2</x:v>
      </x:c>
      <x:c r="K98" s="34" t="str">
        <x:v>1.0</x:v>
      </x:c>
      <x:c r="L98" s="35" t="str">
        <x:f>IF(AND(E98="",F98="",G98="",H98="",I98=""),"",IF(OR(AND(H98="UNCLEAR",E98="",F98="",G98="",I98&lt;&gt;""),AND(H98="LABELED",COUNTIFS(Taksonomi!$A$5:$A$13,E98,Taksonomi!$B$5:$B$13,F98)=1,OR(G98="",AND(COUNTIF(Taksonomi!$D$4:$D$6,G98)=1,G98&lt;&gt;E98)))),"OK","PERIKSA"))</x:f>
      </x:c>
    </x:row>
    <x:row r="99" ht="145" customHeight="1">
      <x:c r="A99" s="34" t="str">
        <x:v>1891174397248991239</x:v>
      </x:c>
      <x:c r="B99" s="34" t="str">
        <x:v>1891067025088266358</x:v>
      </x:c>
      <x:c r="C99" s="34" t="str">
        <x:v>Program Makan Bergizi Gratis (MBG) di Kabupaten Sumenep, Jawa Timur dihentikan.
Link berita: https://t.co/77ybYs6KJw
/ #MakanBergiziGratis #MBG #Siswa #Sekolah #Sumenep https://t.co/ke9vX0q0OP</x:v>
      </x:c>
      <x:c r="D99" s="34" t="str">
        <x:v>'@kompascom Terlalu di paksakan tdk baik, biar lah anggaran nya di buat yg lain. Janji2 sdh basi, skrg kan sdh jd presiden, buat apa lg janji, janji hanya buat pencalonan</x:v>
      </x:c>
      <x:c r="E99" s="40" t="str"/>
      <x:c r="F99" s="40" t="str"/>
      <x:c r="G99" s="40" t="str"/>
      <x:c r="H99" s="40" t="str"/>
      <x:c r="I99" s="40" t="str"/>
      <x:c r="J99" s="34" t="str">
        <x:v>A2</x:v>
      </x:c>
      <x:c r="K99" s="34" t="str">
        <x:v>1.0</x:v>
      </x:c>
      <x:c r="L99" s="35" t="str">
        <x:f>IF(AND(E99="",F99="",G99="",H99="",I99=""),"",IF(OR(AND(H99="UNCLEAR",E99="",F99="",G99="",I99&lt;&gt;""),AND(H99="LABELED",COUNTIFS(Taksonomi!$A$5:$A$13,E99,Taksonomi!$B$5:$B$13,F99)=1,OR(G99="",AND(COUNTIF(Taksonomi!$D$4:$D$6,G99)=1,G99&lt;&gt;E99)))),"OK","PERIKSA"))</x:f>
      </x:c>
    </x:row>
    <x:row r="100" ht="145" customHeight="1">
      <x:c r="A100" s="34" t="str">
        <x:v>1920126216386089072</x:v>
      </x:c>
      <x:c r="B100" s="34" t="str">
        <x:v>1920024711091913002</x:v>
      </x:c>
      <x:c r="C100"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100" s="34" t="str">
        <x:v>'@MurtadhaOne1 Empati dah hilang
Ga beda jauh sama mulyono
Jangan berharap banyak</x:v>
      </x:c>
      <x:c r="E100" s="40" t="str"/>
      <x:c r="F100" s="40" t="str"/>
      <x:c r="G100" s="40" t="str"/>
      <x:c r="H100" s="40" t="str"/>
      <x:c r="I100" s="40" t="str"/>
      <x:c r="J100" s="34" t="str">
        <x:v>A2</x:v>
      </x:c>
      <x:c r="K100" s="34" t="str">
        <x:v>1.0</x:v>
      </x:c>
      <x:c r="L100" s="35" t="str">
        <x:f>IF(AND(E100="",F100="",G100="",H100="",I100=""),"",IF(OR(AND(H100="UNCLEAR",E100="",F100="",G100="",I100&lt;&gt;""),AND(H100="LABELED",COUNTIFS(Taksonomi!$A$5:$A$13,E100,Taksonomi!$B$5:$B$13,F100)=1,OR(G100="",AND(COUNTIF(Taksonomi!$D$4:$D$6,G100)=1,G100&lt;&gt;E100)))),"OK","PERIKSA"))</x:f>
      </x:c>
    </x:row>
    <x:row r="101" ht="145" customHeight="1">
      <x:c r="A101" s="34" t="str">
        <x:v>2025802590022422896</x:v>
      </x:c>
      <x:c r="B101" s="34" t="str">
        <x:v>2025423174159253552</x:v>
      </x:c>
      <x:c r="C101" s="34" t="str">
        <x:v>Program MBG Prabowo ditolak ribuan siswa SD, SMP, dan SMA di Papua. Mereka menyuarakan tuntutan agar pemerintah lebih memprioritaskan pendidikan gratis dan layak dibanding sekadar penyediaan makan.
Para pelajar menilai pendidikan yang berkualitas masih menjadi kebutuhan utama. https://t.co/5MazQ3qlsA</x:v>
      </x:c>
      <x:c r="D101" s="34" t="str">
        <x:v>'@Sammi86Pilang Betul bgt.. Mbg cmn ldg korupsi bkin hega pokok mlmbung tinggi</x:v>
      </x:c>
      <x:c r="E101" s="40" t="str"/>
      <x:c r="F101" s="40" t="str"/>
      <x:c r="G101" s="40" t="str"/>
      <x:c r="H101" s="40" t="str"/>
      <x:c r="I101" s="40" t="str"/>
      <x:c r="J101" s="34" t="str">
        <x:v>A2</x:v>
      </x:c>
      <x:c r="K101" s="34" t="str">
        <x:v>1.0</x:v>
      </x:c>
      <x:c r="L101" s="35" t="str">
        <x:f>IF(AND(E101="",F101="",G101="",H101="",I101=""),"",IF(OR(AND(H101="UNCLEAR",E101="",F101="",G101="",I101&lt;&gt;""),AND(H101="LABELED",COUNTIFS(Taksonomi!$A$5:$A$13,E101,Taksonomi!$B$5:$B$13,F101)=1,OR(G101="",AND(COUNTIF(Taksonomi!$D$4:$D$6,G101)=1,G101&lt;&gt;E101)))),"OK","PERIKSA"))</x:f>
      </x:c>
    </x:row>
    <x:row r="102" ht="145" customHeight="1">
      <x:c r="A102" s="34" t="str">
        <x:v>2018257469685043259</x:v>
      </x:c>
      <x:c r="B102" s="34" t="str">
        <x:v>2018180074642477114</x:v>
      </x:c>
      <x:c r="C102" s="34" t="str">
        <x:v>Menteri Koordinator Pangan Zulkifli Hasan menyatakan program makan bergizi gratis (MBG) tetap berlangsung selama Ramadan dengan penyesuaian kudapan.
Ia mengatakan penyaluran MBG pada Ramadan akan disesuaikan berdasarkan jenis penerima manfaat. https://t.co/KRTJFhjniV</x:v>
      </x:c>
      <x:c r="D102" s="34" t="str">
        <x:v>'@tempodotco Kenapa dipaksakan MBG disaat ramadhan ini
Seharusnya tutup sementara aja
Ada apa dg MBG ini mungkin kiamat jg hrs tetap kirim makanannya ya</x:v>
      </x:c>
      <x:c r="E102" s="40" t="str"/>
      <x:c r="F102" s="40" t="str"/>
      <x:c r="G102" s="40" t="str"/>
      <x:c r="H102" s="40" t="str"/>
      <x:c r="I102" s="40" t="str"/>
      <x:c r="J102" s="34" t="str">
        <x:v>A2</x:v>
      </x:c>
      <x:c r="K102" s="34" t="str">
        <x:v>1.0</x:v>
      </x:c>
      <x:c r="L102" s="35" t="str">
        <x:f>IF(AND(E102="",F102="",G102="",H102="",I102=""),"",IF(OR(AND(H102="UNCLEAR",E102="",F102="",G102="",I102&lt;&gt;""),AND(H102="LABELED",COUNTIFS(Taksonomi!$A$5:$A$13,E102,Taksonomi!$B$5:$B$13,F102)=1,OR(G102="",AND(COUNTIF(Taksonomi!$D$4:$D$6,G102)=1,G102&lt;&gt;E102)))),"OK","PERIKSA"))</x:f>
      </x:c>
    </x:row>
    <x:row r="103" ht="145" customHeight="1">
      <x:c r="A103" s="34" t="str">
        <x:v>1876396818764083242</x:v>
      </x:c>
      <x:c r="B103" s="34" t="str">
        <x:v>1876257509205577986</x:v>
      </x:c>
      <x:c r="C103" s="34" t="str">
        <x:v>Yang ini lebih kasihan lagi.. Malah trauma jadinya..
Makan Bergizi Gratis kok malah jatuhin mental anak-anak!!! https://t.co/9WxV7B9Hps</x:v>
      </x:c>
      <x:c r="D103" s="34" t="str">
        <x:v>'@PaltiWest2024 Siapa coba yg mikir pas pemilu kmrn ini ide bgs, sampe pada nyoblos calonnya? Dah jelas program gampang d korupsi. Duit segitu jadi eek ujungnya. Mending dibikin program yang jelas, modalin petani, atau apa keq yang bisa bikin ortu anak2 dpt kerjaan.</x:v>
      </x:c>
      <x:c r="E103" s="40" t="str"/>
      <x:c r="F103" s="40" t="str"/>
      <x:c r="G103" s="40" t="str"/>
      <x:c r="H103" s="40" t="str"/>
      <x:c r="I103" s="40" t="str"/>
      <x:c r="J103" s="34" t="str">
        <x:v>A2</x:v>
      </x:c>
      <x:c r="K103" s="34" t="str">
        <x:v>1.0</x:v>
      </x:c>
      <x:c r="L103" s="35" t="str">
        <x:f>IF(AND(E103="",F103="",G103="",H103="",I103=""),"",IF(OR(AND(H103="UNCLEAR",E103="",F103="",G103="",I103&lt;&gt;""),AND(H103="LABELED",COUNTIFS(Taksonomi!$A$5:$A$13,E103,Taksonomi!$B$5:$B$13,F103)=1,OR(G103="",AND(COUNTIF(Taksonomi!$D$4:$D$6,G103)=1,G103&lt;&gt;E103)))),"OK","PERIKSA"))</x:f>
      </x:c>
    </x:row>
    <x:row r="104" ht="145" customHeight="1">
      <x:c r="A104" s="34" t="str">
        <x:v>1926565337031389359</x:v>
      </x:c>
      <x:c r="B104" s="34" t="str">
        <x:v>1925943469618413785</x:v>
      </x:c>
      <x:c r="C104" s="34" t="str">
        <x:v>malem malem nangisin trend "so the winner takes it all" SEDIH BGT ANJIRRR 💔💔💔💔 BILANGIN KE PEMERINTAH, HARUSNYA TUH YANG GRATIS TUH PENDIDIKAN, BUKAN MAKAN BERGIZI GRATIS :( https://t.co/WJGvHGGGTF</x:v>
      </x:c>
      <x:c r="D104" s="34" t="str">
        <x:v>'@haeshale aaaaa sadly pemerintahan kita kekk... makin lama pendidikan nih makin susah di reachout. looking at negara lain sekolah gampang di reach out itu such a blessing. semanfat wni 😔</x:v>
      </x:c>
      <x:c r="E104" s="40" t="str"/>
      <x:c r="F104" s="40" t="str"/>
      <x:c r="G104" s="40" t="str"/>
      <x:c r="H104" s="40" t="str"/>
      <x:c r="I104" s="40" t="str"/>
      <x:c r="J104" s="34" t="str">
        <x:v>A2</x:v>
      </x:c>
      <x:c r="K104" s="34" t="str">
        <x:v>1.0</x:v>
      </x:c>
      <x:c r="L104" s="35" t="str">
        <x:f>IF(AND(E104="",F104="",G104="",H104="",I104=""),"",IF(OR(AND(H104="UNCLEAR",E104="",F104="",G104="",I104&lt;&gt;""),AND(H104="LABELED",COUNTIFS(Taksonomi!$A$5:$A$13,E104,Taksonomi!$B$5:$B$13,F104)=1,OR(G104="",AND(COUNTIF(Taksonomi!$D$4:$D$6,G104)=1,G104&lt;&gt;E104)))),"OK","PERIKSA"))</x:f>
      </x:c>
    </x:row>
    <x:row r="105" ht="145" customHeight="1">
      <x:c r="A105" s="34" t="str">
        <x:v>2015816165256515721</x:v>
      </x:c>
      <x:c r="B105" s="34" t="str">
        <x:v>2015593200413790212</x:v>
      </x:c>
      <x:c r="C105" s="34" t="str">
        <x:v>Yang klinis dibantah, yang klenik disembah. Yang pakar diragukan, yang sensasional dipertontonkan. Orang pintar dibilang bodoh, orang bodoh merasa pintar. Ternyata, sebaik-baiknya makan bergizi gratis, negeri ini lebih membutuhkan pendidikan gratis</x:v>
      </x:c>
      <x:c r="D105" s="34" t="str">
        <x:v>'@FiersaBesari Bubarin aja dah negaranya</x:v>
      </x:c>
      <x:c r="E105" s="40" t="str"/>
      <x:c r="F105" s="40" t="str"/>
      <x:c r="G105" s="40" t="str"/>
      <x:c r="H105" s="40" t="str"/>
      <x:c r="I105" s="40" t="str"/>
      <x:c r="J105" s="34" t="str">
        <x:v>A2</x:v>
      </x:c>
      <x:c r="K105" s="34" t="str">
        <x:v>1.0</x:v>
      </x:c>
      <x:c r="L105" s="35" t="str">
        <x:f>IF(AND(E105="",F105="",G105="",H105="",I105=""),"",IF(OR(AND(H105="UNCLEAR",E105="",F105="",G105="",I105&lt;&gt;""),AND(H105="LABELED",COUNTIFS(Taksonomi!$A$5:$A$13,E105,Taksonomi!$B$5:$B$13,F105)=1,OR(G105="",AND(COUNTIF(Taksonomi!$D$4:$D$6,G105)=1,G105&lt;&gt;E105)))),"OK","PERIKSA"))</x:f>
      </x:c>
    </x:row>
    <x:row r="106" ht="145" customHeight="1">
      <x:c r="A106" s="34" t="str">
        <x:v>2024621723954663462</x:v>
      </x:c>
      <x:c r="B106" s="34" t="str">
        <x:v>2024359625244774442</x:v>
      </x:c>
      <x:c r="C106"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106" s="34" t="str">
        <x:v>'@menuembegejelek "minuman rasa susu" bukan susu murni, kandungan susunya cuma 1% sisanya air sama gula ga ada gizinya blass, harga cuma 2 ribuan, untung berapa banyak tuh SPPG nya
https://t.co/AFbTgjfs4c</x:v>
      </x:c>
      <x:c r="E106" s="40" t="str"/>
      <x:c r="F106" s="40" t="str"/>
      <x:c r="G106" s="40" t="str"/>
      <x:c r="H106" s="40" t="str"/>
      <x:c r="I106" s="40" t="str"/>
      <x:c r="J106" s="34" t="str">
        <x:v>A2</x:v>
      </x:c>
      <x:c r="K106" s="34" t="str">
        <x:v>1.0</x:v>
      </x:c>
      <x:c r="L106" s="35" t="str">
        <x:f>IF(AND(E106="",F106="",G106="",H106="",I106=""),"",IF(OR(AND(H106="UNCLEAR",E106="",F106="",G106="",I106&lt;&gt;""),AND(H106="LABELED",COUNTIFS(Taksonomi!$A$5:$A$13,E106,Taksonomi!$B$5:$B$13,F106)=1,OR(G106="",AND(COUNTIF(Taksonomi!$D$4:$D$6,G106)=1,G106&lt;&gt;E106)))),"OK","PERIKSA"))</x:f>
      </x:c>
    </x:row>
    <x:row r="107" ht="145" customHeight="1">
      <x:c r="A107" s="34" t="str">
        <x:v>1820419949648818514</x:v>
      </x:c>
      <x:c r="B107" s="34" t="str">
        <x:v>1820409695653519854</x:v>
      </x:c>
      <x:c r="C107" s="34" t="str">
        <x:v>Gibran Sebut Makan Bergizi Gratis Tak Harus Nasi, Bisa Diganti Mie Asalkan...
https://t.co/NquA9zNQUQ</x:v>
      </x:c>
      <x:c r="D107" s="34" t="str">
        <x:v>'@tempodotco Ujung ujungnya pembagian pil vitamin aja.😂😂😂</x:v>
      </x:c>
      <x:c r="E107" s="40" t="str"/>
      <x:c r="F107" s="40" t="str"/>
      <x:c r="G107" s="40" t="str"/>
      <x:c r="H107" s="40" t="str"/>
      <x:c r="I107" s="40" t="str"/>
      <x:c r="J107" s="34" t="str">
        <x:v>A2</x:v>
      </x:c>
      <x:c r="K107" s="34" t="str">
        <x:v>1.0</x:v>
      </x:c>
      <x:c r="L107" s="35" t="str">
        <x:f>IF(AND(E107="",F107="",G107="",H107="",I107=""),"",IF(OR(AND(H107="UNCLEAR",E107="",F107="",G107="",I107&lt;&gt;""),AND(H107="LABELED",COUNTIFS(Taksonomi!$A$5:$A$13,E107,Taksonomi!$B$5:$B$13,F107)=1,OR(G107="",AND(COUNTIF(Taksonomi!$D$4:$D$6,G107)=1,G107&lt;&gt;E107)))),"OK","PERIKSA"))</x:f>
      </x:c>
    </x:row>
    <x:row r="108" ht="145" customHeight="1">
      <x:c r="A108" s="34" t="str">
        <x:v>1813568093198905358</x:v>
      </x:c>
      <x:c r="B108" s="34" t="str">
        <x:v>1813424765304230087</x:v>
      </x:c>
      <x:c r="C108" s="34" t="str">
        <x:v>Menteri Koordinator Bidang Perekonomian, Airlangga Hartarto, buka suara tentang pemangkasan anggaran program makan bergizi gratis dari Rp 15.000 per anak menjadi Rp 7.500 per anak.
#TempoHeadliner https://t.co/Nn0C1GqlpI</x:v>
      </x:c>
      <x:c r="D108" s="34" t="str">
        <x:v>'@tempodotco Di anggaran 7500,- sampai dibawah ya 1500,-. Itu belum bungkusnya, karetnya, sendok plastiknya, jadinya tinggal sisa 750,- (nasi 10 sendok + ikan teri kering + aqua gelas mini). Dah, kenyanglah si Mopy</x:v>
      </x:c>
      <x:c r="E108" s="40" t="str"/>
      <x:c r="F108" s="40" t="str"/>
      <x:c r="G108" s="40" t="str"/>
      <x:c r="H108" s="40" t="str"/>
      <x:c r="I108" s="40" t="str"/>
      <x:c r="J108" s="34" t="str">
        <x:v>A2</x:v>
      </x:c>
      <x:c r="K108" s="34" t="str">
        <x:v>1.0</x:v>
      </x:c>
      <x:c r="L108" s="35" t="str">
        <x:f>IF(AND(E108="",F108="",G108="",H108="",I108=""),"",IF(OR(AND(H108="UNCLEAR",E108="",F108="",G108="",I108&lt;&gt;""),AND(H108="LABELED",COUNTIFS(Taksonomi!$A$5:$A$13,E108,Taksonomi!$B$5:$B$13,F108)=1,OR(G108="",AND(COUNTIF(Taksonomi!$D$4:$D$6,G108)=1,G108&lt;&gt;E108)))),"OK","PERIKSA"))</x:f>
      </x:c>
    </x:row>
    <x:row r="109" ht="145" customHeight="1">
      <x:c r="A109" s="34" t="str">
        <x:v>2014320528736289057</x:v>
      </x:c>
      <x:c r="B109" s="34" t="str">
        <x:v>2014214195659899161</x:v>
      </x:c>
      <x:c r="C109" s="34" t="str">
        <x:v>Masa katanya anak yang putus sekolah juga akan dapat MBG???? wkwkwkwkwkwkwkkwkw bukannya bantu dilanjutin sekolahnya jir gmn sih ini gw yg gila apa mereka yang gila wkwkwkwkwkw</x:v>
      </x:c>
      <x:c r="D109" s="34" t="str">
        <x:v>'@kaptenAmercia GUE JUGA KAGET PAS TANTE GUE BIKIN SW "PEMBAGIAN MBG BUAT WARGA RT..." MBG BUAT WARGA!??!?! LAH????!?!?! anyink lama² nih mbg buat seluruh rakyat Indonesia, day 1 langsung bangkrut ni negara</x:v>
      </x:c>
      <x:c r="E109" s="40" t="str"/>
      <x:c r="F109" s="40" t="str"/>
      <x:c r="G109" s="40" t="str"/>
      <x:c r="H109" s="40" t="str"/>
      <x:c r="I109" s="40" t="str"/>
      <x:c r="J109" s="34" t="str">
        <x:v>A2</x:v>
      </x:c>
      <x:c r="K109" s="34" t="str">
        <x:v>1.0</x:v>
      </x:c>
      <x:c r="L109" s="35" t="str">
        <x:f>IF(AND(E109="",F109="",G109="",H109="",I109=""),"",IF(OR(AND(H109="UNCLEAR",E109="",F109="",G109="",I109&lt;&gt;""),AND(H109="LABELED",COUNTIFS(Taksonomi!$A$5:$A$13,E109,Taksonomi!$B$5:$B$13,F109)=1,OR(G109="",AND(COUNTIF(Taksonomi!$D$4:$D$6,G109)=1,G109&lt;&gt;E109)))),"OK","PERIKSA"))</x:f>
      </x:c>
    </x:row>
    <x:row r="110" ht="145" customHeight="1">
      <x:c r="A110" s="34" t="str">
        <x:v>1919609514216530245</x:v>
      </x:c>
      <x:c r="B110" s="34" t="str">
        <x:v>1919295231515640049</x:v>
      </x:c>
      <x:c r="C110" s="34" t="str">
        <x:v>Ditemukan Ulat di MBG, Siswa Trauma Tak Mau Makan | #MakanBergiziGratis #Yogyakarta  
https://t.co/KghLKXMjKG</x:v>
      </x:c>
      <x:c r="D110" s="34" t="str">
        <x:v>'@kompascom Makan Bergizi Gratis banyak banget MASALAH woyyy !! Pada picek lu semua??
Keracunan, makanan tidak layak, vendor tidak dibayar dll 🤡🤡🤡🤡🤡🤡🤡🤡🤡</x:v>
      </x:c>
      <x:c r="E110" s="40" t="str"/>
      <x:c r="F110" s="40" t="str"/>
      <x:c r="G110" s="40" t="str"/>
      <x:c r="H110" s="40" t="str"/>
      <x:c r="I110" s="40" t="str"/>
      <x:c r="J110" s="34" t="str">
        <x:v>A2</x:v>
      </x:c>
      <x:c r="K110" s="34" t="str">
        <x:v>1.0</x:v>
      </x:c>
      <x:c r="L110" s="35" t="str">
        <x:f>IF(AND(E110="",F110="",G110="",H110="",I110=""),"",IF(OR(AND(H110="UNCLEAR",E110="",F110="",G110="",I110&lt;&gt;""),AND(H110="LABELED",COUNTIFS(Taksonomi!$A$5:$A$13,E110,Taksonomi!$B$5:$B$13,F110)=1,OR(G110="",AND(COUNTIF(Taksonomi!$D$4:$D$6,G110)=1,G110&lt;&gt;E110)))),"OK","PERIKSA"))</x:f>
      </x:c>
    </x:row>
    <x:row r="111" ht="145" customHeight="1">
      <x:c r="A111" s="34" t="str">
        <x:v>1971446965918630344</x:v>
      </x:c>
      <x:c r="B111" s="34" t="str">
        <x:v>1971420349452730404</x:v>
      </x:c>
      <x:c r="C111" s="34" t="str">
        <x:v>Wakil Panglima TNI Jenderal Tandyo Budi Revita menegaskan bahwa program Makan Bergizi Gratis (MBG) yang dijalankan TNI higienis dan bermanfaat langsung bagi masyarakat.
Baca selengkapnya 👇
https://t.co/HhYg4VWiJI
~LL #MBG #TNI https://t.co/1Q2K0dq5Wi</x:v>
      </x:c>
      <x:c r="D111" s="34" t="str">
        <x:v>'@kompascom Bgtulah contoh pejabat yg gak bisa melihat kenyataan yg dirasakan para ortu murid yg keracunan ,mereka pasti trauma dgn MBG !!</x:v>
      </x:c>
      <x:c r="E111" s="40" t="str"/>
      <x:c r="F111" s="40" t="str"/>
      <x:c r="G111" s="40" t="str"/>
      <x:c r="H111" s="40" t="str"/>
      <x:c r="I111" s="40" t="str"/>
      <x:c r="J111" s="34" t="str">
        <x:v>A2</x:v>
      </x:c>
      <x:c r="K111" s="34" t="str">
        <x:v>1.0</x:v>
      </x:c>
      <x:c r="L111" s="35" t="str">
        <x:f>IF(AND(E111="",F111="",G111="",H111="",I111=""),"",IF(OR(AND(H111="UNCLEAR",E111="",F111="",G111="",I111&lt;&gt;""),AND(H111="LABELED",COUNTIFS(Taksonomi!$A$5:$A$13,E111,Taksonomi!$B$5:$B$13,F111)=1,OR(G111="",AND(COUNTIF(Taksonomi!$D$4:$D$6,G111)=1,G111&lt;&gt;E111)))),"OK","PERIKSA"))</x:f>
      </x:c>
    </x:row>
    <x:row r="112" ht="145" customHeight="1">
      <x:c r="A112" s="34" t="str">
        <x:v>1862136000354619713</x:v>
      </x:c>
      <x:c r="B112" s="34" t="str">
        <x:v>1862121513366978711</x:v>
      </x:c>
      <x:c r="C112" s="34" t="str">
        <x:v>Prabowo Curhat Program Makan Bergizi Gratis Diejek: Saya Dibilang Sudah Gila
https://t.co/m7vHqzesvt</x:v>
      </x:c>
      <x:c r="D112" s="34" t="str">
        <x:v>'@tempodotco Ngak gila pak wo..tapi kalau dana hasil pinjaman lagi itu baru gila namanya..warisan hutang segede gaban..mau bayar pakai apa pak.wo...</x:v>
      </x:c>
      <x:c r="E112" s="40" t="str"/>
      <x:c r="F112" s="40" t="str"/>
      <x:c r="G112" s="40" t="str"/>
      <x:c r="H112" s="40" t="str"/>
      <x:c r="I112" s="40" t="str"/>
      <x:c r="J112" s="34" t="str">
        <x:v>A2</x:v>
      </x:c>
      <x:c r="K112" s="34" t="str">
        <x:v>1.0</x:v>
      </x:c>
      <x:c r="L112" s="35" t="str">
        <x:f>IF(AND(E112="",F112="",G112="",H112="",I112=""),"",IF(OR(AND(H112="UNCLEAR",E112="",F112="",G112="",I112&lt;&gt;""),AND(H112="LABELED",COUNTIFS(Taksonomi!$A$5:$A$13,E112,Taksonomi!$B$5:$B$13,F112)=1,OR(G112="",AND(COUNTIF(Taksonomi!$D$4:$D$6,G112)=1,G112&lt;&gt;E112)))),"OK","PERIKSA"))</x:f>
      </x:c>
    </x:row>
    <x:row r="113" ht="145" customHeight="1">
      <x:c r="A113" s="34" t="str">
        <x:v>1971298221944430979</x:v>
      </x:c>
      <x:c r="B113" s="34" t="str">
        <x:v>1971175352006324351</x:v>
      </x:c>
      <x:c r="C113" s="34" t="str">
        <x:v>Badan Gizi Nasional (BGN) menduga ada dua penyebab kasus keracunan makanan yang belakangan terjadi dalam program makan bergizi gratis. Apa saja?
#mbg #keracunan #bgn #tempodotco https://t.co/U6GVO53zoK</x:v>
      </x:c>
      <x:c r="D113" s="34" t="str">
        <x:v>'@tempodotco STOP MBG!! , kemasan dan sajian tidak layak dan tidak Higienis.</x:v>
      </x:c>
      <x:c r="E113" s="40" t="str"/>
      <x:c r="F113" s="40" t="str"/>
      <x:c r="G113" s="40" t="str"/>
      <x:c r="H113" s="40" t="str"/>
      <x:c r="I113" s="40" t="str"/>
      <x:c r="J113" s="34" t="str">
        <x:v>A2</x:v>
      </x:c>
      <x:c r="K113" s="34" t="str">
        <x:v>1.0</x:v>
      </x:c>
      <x:c r="L113" s="35" t="str">
        <x:f>IF(AND(E113="",F113="",G113="",H113="",I113=""),"",IF(OR(AND(H113="UNCLEAR",E113="",F113="",G113="",I113&lt;&gt;""),AND(H113="LABELED",COUNTIFS(Taksonomi!$A$5:$A$13,E113,Taksonomi!$B$5:$B$13,F113)=1,OR(G113="",AND(COUNTIF(Taksonomi!$D$4:$D$6,G113)=1,G113&lt;&gt;E113)))),"OK","PERIKSA"))</x:f>
      </x:c>
    </x:row>
    <x:row r="114" ht="145" customHeight="1">
      <x:c r="A114" s="34" t="str">
        <x:v>1893628906143694849</x:v>
      </x:c>
      <x:c r="B114" s="34" t="str">
        <x:v>1893601702273806465</x:v>
      </x:c>
      <x:c r="C114" s="34" t="str">
        <x:v>MBG:                                  Equil(e-katalog):
Rp10.000                          Rp34.650 https://t.co/L6khBkGHUA</x:v>
      </x:c>
      <x:c r="D114" s="34" t="str">
        <x:v>'@ARSIPAJA Dulu gw kira adanya e-katalog, harga bisa lebih transparan agar praktik markup menjadi minim
Ternyata biar markup tetap ada dan menjadi "halal" karena ga sembunyi2. Karena kalaupun ketauan markup harga, rakyat ga bisa ngapa2in. Hanya bisa misuh2 😶</x:v>
      </x:c>
      <x:c r="E114" s="40" t="str"/>
      <x:c r="F114" s="40" t="str"/>
      <x:c r="G114" s="40" t="str"/>
      <x:c r="H114" s="40" t="str"/>
      <x:c r="I114" s="40" t="str"/>
      <x:c r="J114" s="34" t="str">
        <x:v>A2</x:v>
      </x:c>
      <x:c r="K114" s="34" t="str">
        <x:v>1.0</x:v>
      </x:c>
      <x:c r="L114" s="35" t="str">
        <x:f>IF(AND(E114="",F114="",G114="",H114="",I114=""),"",IF(OR(AND(H114="UNCLEAR",E114="",F114="",G114="",I114&lt;&gt;""),AND(H114="LABELED",COUNTIFS(Taksonomi!$A$5:$A$13,E114,Taksonomi!$B$5:$B$13,F114)=1,OR(G114="",AND(COUNTIF(Taksonomi!$D$4:$D$6,G114)=1,G114&lt;&gt;E114)))),"OK","PERIKSA"))</x:f>
      </x:c>
    </x:row>
    <x:row r="115" ht="145" customHeight="1">
      <x:c r="A115" s="34" t="str">
        <x:v>1919699712514654418</x:v>
      </x:c>
      <x:c r="B115" s="34" t="str">
        <x:v>1919638486786965697</x:v>
      </x:c>
      <x:c r="C115" s="34" t="str">
        <x:v>Presiden Prabowo Subianto menduga kasus keracunan makan bergizi gratis karena siswa tidak menggunakan sendok ketika menyantap kudapan yang diberikan. 
Selain itu, anak itu diduga belum cuci tangan dengan bersih.
#TempoHeadliner https://t.co/42PyRpYz2i</x:v>
      </x:c>
      <x:c r="D115" s="34" t="str">
        <x:v>'@tempodotco Presiden yang nampak terhormat,...
Ketahuilah bahwa keracunan terjadi hanya karena makanan panas dipaksa masuk dalam kemasan tertutup dan dibiarkan dalam waktu lama. 
Sendok tak bersalah!!.
warung padang adalah contoh makan tanpa sendok yang sehat walau kadang lupa cuci tangan.</x:v>
      </x:c>
      <x:c r="E115" s="40" t="str"/>
      <x:c r="F115" s="40" t="str"/>
      <x:c r="G115" s="40" t="str"/>
      <x:c r="H115" s="40" t="str"/>
      <x:c r="I115" s="40" t="str"/>
      <x:c r="J115" s="34" t="str">
        <x:v>A2</x:v>
      </x:c>
      <x:c r="K115" s="34" t="str">
        <x:v>1.0</x:v>
      </x:c>
      <x:c r="L115" s="35" t="str">
        <x:f>IF(AND(E115="",F115="",G115="",H115="",I115=""),"",IF(OR(AND(H115="UNCLEAR",E115="",F115="",G115="",I115&lt;&gt;""),AND(H115="LABELED",COUNTIFS(Taksonomi!$A$5:$A$13,E115,Taksonomi!$B$5:$B$13,F115)=1,OR(G115="",AND(COUNTIF(Taksonomi!$D$4:$D$6,G115)=1,G115&lt;&gt;E115)))),"OK","PERIKSA"))</x:f>
      </x:c>
    </x:row>
    <x:row r="116" ht="145" customHeight="1">
      <x:c r="A116" s="34" t="str">
        <x:v>2021975917971853474</x:v>
      </x:c>
      <x:c r="B116" s="34" t="str">
        <x:v>2021930606360506488</x:v>
      </x:c>
      <x:c r="C116"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16" s="34" t="str">
        <x:v>'@menuembegejelek Hari ini begini. Minimal, jangan pake plastik. 
Disini katanya warga sendiri yang harus ambil kesana pakai wadah/ompreng, dsb. Kalau yang gak ambil sendiri, diantarkan ya begini. Nasi dicampur dalam plastik keresek. 
Dikira makanan bebek kali ya~ https://t.co/XOxGozdfTi</x:v>
      </x:c>
      <x:c r="E116" s="40" t="str"/>
      <x:c r="F116" s="40" t="str"/>
      <x:c r="G116" s="40" t="str"/>
      <x:c r="H116" s="40" t="str"/>
      <x:c r="I116" s="40" t="str"/>
      <x:c r="J116" s="34" t="str">
        <x:v>A2</x:v>
      </x:c>
      <x:c r="K116" s="34" t="str">
        <x:v>1.0</x:v>
      </x:c>
      <x:c r="L116" s="35" t="str">
        <x:f>IF(AND(E116="",F116="",G116="",H116="",I116=""),"",IF(OR(AND(H116="UNCLEAR",E116="",F116="",G116="",I116&lt;&gt;""),AND(H116="LABELED",COUNTIFS(Taksonomi!$A$5:$A$13,E116,Taksonomi!$B$5:$B$13,F116)=1,OR(G116="",AND(COUNTIF(Taksonomi!$D$4:$D$6,G116)=1,G116&lt;&gt;E116)))),"OK","PERIKSA"))</x:f>
      </x:c>
    </x:row>
    <x:row r="117" ht="145" customHeight="1">
      <x:c r="A117" s="34" t="str">
        <x:v>2015800235248046468</x:v>
      </x:c>
      <x:c r="B117" s="34" t="str">
        <x:v>2015727069381177450</x:v>
      </x:c>
      <x:c r="C117" s="34" t="str">
        <x:v>Pelindo menegaskan dapur MBG di rumah kakek Wawan berdiri di lahan milik Pelindo. Pelindo menyebut Wawan hanya membeli bangunan, bukan tanah.
Baca selengkapnya: https://t.co/SyzJUzAl08
_RKD #Pelindo #MBG #Wawan https://t.co/7SbhZeIt6C</x:v>
      </x:c>
      <x:c r="D117" s="34" t="str">
        <x:v>'@kompascom Kocaq semua mau dibodohii</x:v>
      </x:c>
      <x:c r="E117" s="40" t="str"/>
      <x:c r="F117" s="40" t="str"/>
      <x:c r="G117" s="40" t="str"/>
      <x:c r="H117" s="40" t="str"/>
      <x:c r="I117" s="40" t="str"/>
      <x:c r="J117" s="34" t="str">
        <x:v>A2</x:v>
      </x:c>
      <x:c r="K117" s="34" t="str">
        <x:v>1.0</x:v>
      </x:c>
      <x:c r="L117" s="35" t="str">
        <x:f>IF(AND(E117="",F117="",G117="",H117="",I117=""),"",IF(OR(AND(H117="UNCLEAR",E117="",F117="",G117="",I117&lt;&gt;""),AND(H117="LABELED",COUNTIFS(Taksonomi!$A$5:$A$13,E117,Taksonomi!$B$5:$B$13,F117)=1,OR(G117="",AND(COUNTIF(Taksonomi!$D$4:$D$6,G117)=1,G117&lt;&gt;E117)))),"OK","PERIKSA"))</x:f>
      </x:c>
    </x:row>
    <x:row r="118" ht="145" customHeight="1">
      <x:c r="A118" s="34" t="str">
        <x:v>2022562941900300379</x:v>
      </x:c>
      <x:c r="B118" s="34" t="str">
        <x:v>2021941648276816324</x:v>
      </x:c>
      <x:c r="C118" s="34" t="str">
        <x:v>Seorang guru honorer bernama Reza Sudrajat menggugat Undang-undang APBN tahun 2026 ke Mahkamah Konstitusi (MK) gara-gara program Makan Bergizi Gratis (MBG) yang menurutnya berimbas dipangkasnya anggaran pendidikan.
Baca selengkapnya: https://t.co/FMYBX2HPse.
~SN #MBG #GuruHonorer #MK #AnggaranDipangkas</x:v>
      </x:c>
      <x:c r="D118" s="34" t="str">
        <x:v>Logika pemerintah benar-benar 'Mind Blowing' 🤯
Niatnya: Kasih Makan Gratis biar anak-anak pinter &amp; bergizi. 
Caranya: Potong anggaran Pendidikan (Gaji/Operasional Guru).
Hasilnya: Muridnya Kenyang, Gurunya Puasa.Terus yang ngajar siapa nanti? Kotak Nasi?
Pak Reza Sudrajat mewakili akal sehat kita semua. Respect! 🫡</x:v>
      </x:c>
      <x:c r="E118" s="40" t="str"/>
      <x:c r="F118" s="40" t="str"/>
      <x:c r="G118" s="40" t="str"/>
      <x:c r="H118" s="40" t="str"/>
      <x:c r="I118" s="40" t="str"/>
      <x:c r="J118" s="34" t="str">
        <x:v>A2</x:v>
      </x:c>
      <x:c r="K118" s="34" t="str">
        <x:v>1.0</x:v>
      </x:c>
      <x:c r="L118" s="35" t="str">
        <x:f>IF(AND(E118="",F118="",G118="",H118="",I118=""),"",IF(OR(AND(H118="UNCLEAR",E118="",F118="",G118="",I118&lt;&gt;""),AND(H118="LABELED",COUNTIFS(Taksonomi!$A$5:$A$13,E118,Taksonomi!$B$5:$B$13,F118)=1,OR(G118="",AND(COUNTIF(Taksonomi!$D$4:$D$6,G118)=1,G118&lt;&gt;E118)))),"OK","PERIKSA"))</x:f>
      </x:c>
    </x:row>
    <x:row r="119" ht="145" customHeight="1">
      <x:c r="A119" s="34" t="str">
        <x:v>1891673032915103983</x:v>
      </x:c>
      <x:c r="B119" s="34" t="str">
        <x:v>1891334694878519429</x:v>
      </x:c>
      <x:c r="C119"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19" s="34" t="str">
        <x:v>'@jefry_wnd nangis banget sih…gue pernah ketemu anak di desa yg semangat bgt sekolah. Mereka sejak subuh udah naik sampan. Anak2 pedalaman di pelosok entah lah. Gue saat itu di Tengarong. Haruuu banget. Sekolah bikin mereka bahagia 😭 Semoga adik2 Papua akan mendapatkan keadilan.</x:v>
      </x:c>
      <x:c r="E119" s="40" t="str"/>
      <x:c r="F119" s="40" t="str"/>
      <x:c r="G119" s="40" t="str"/>
      <x:c r="H119" s="40" t="str"/>
      <x:c r="I119" s="40" t="str"/>
      <x:c r="J119" s="34" t="str">
        <x:v>A2</x:v>
      </x:c>
      <x:c r="K119" s="34" t="str">
        <x:v>1.0</x:v>
      </x:c>
      <x:c r="L119" s="35" t="str">
        <x:f>IF(AND(E119="",F119="",G119="",H119="",I119=""),"",IF(OR(AND(H119="UNCLEAR",E119="",F119="",G119="",I119&lt;&gt;""),AND(H119="LABELED",COUNTIFS(Taksonomi!$A$5:$A$13,E119,Taksonomi!$B$5:$B$13,F119)=1,OR(G119="",AND(COUNTIF(Taksonomi!$D$4:$D$6,G119)=1,G119&lt;&gt;E119)))),"OK","PERIKSA"))</x:f>
      </x:c>
    </x:row>
    <x:row r="120" ht="145" customHeight="1">
      <x:c r="A120" s="34" t="str">
        <x:v>1820432971456974996</x:v>
      </x:c>
      <x:c r="B120" s="34" t="str">
        <x:v>1820409695653519854</x:v>
      </x:c>
      <x:c r="C120" s="34" t="str">
        <x:v>Gibran Sebut Makan Bergizi Gratis Tak Harus Nasi, Bisa Diganti Mie Asalkan...
https://t.co/NquA9zNQUQ</x:v>
      </x:c>
      <x:c r="D120" s="34" t="str">
        <x:v>'@tempodotco Pake whiskas aja lebih bergizi &amp;amp; murah https://t.co/J3QWHN4ZMN</x:v>
      </x:c>
      <x:c r="E120" s="40" t="str"/>
      <x:c r="F120" s="40" t="str"/>
      <x:c r="G120" s="40" t="str"/>
      <x:c r="H120" s="40" t="str"/>
      <x:c r="I120" s="40" t="str"/>
      <x:c r="J120" s="34" t="str">
        <x:v>A2</x:v>
      </x:c>
      <x:c r="K120" s="34" t="str">
        <x:v>1.0</x:v>
      </x:c>
      <x:c r="L120" s="35" t="str">
        <x:f>IF(AND(E120="",F120="",G120="",H120="",I120=""),"",IF(OR(AND(H120="UNCLEAR",E120="",F120="",G120="",I120&lt;&gt;""),AND(H120="LABELED",COUNTIFS(Taksonomi!$A$5:$A$13,E120,Taksonomi!$B$5:$B$13,F120)=1,OR(G120="",AND(COUNTIF(Taksonomi!$D$4:$D$6,G120)=1,G120&lt;&gt;E120)))),"OK","PERIKSA"))</x:f>
      </x:c>
    </x:row>
    <x:row r="121" ht="145" customHeight="1">
      <x:c r="A121" s="34" t="str">
        <x:v>1983656418386616553</x:v>
      </x:c>
      <x:c r="B121" s="34" t="str">
        <x:v>1983440825863549077</x:v>
      </x:c>
      <x:c r="C121" s="34" t="str">
        <x:v>Makan Bergizi Gratis (MBG) di Kecamatan Kamal, Bangkalan, Jatim terkontaminasi ulat sayur. Namun, pihak SPPG menilai jenis ulat tersebut bisa dikonsumsi dan tinggi protein.
Baca di sini: https://t.co/xRALTkUXET
~TA #MakanBergiziGratis #Bangkalan https://t.co/yeoPeypvNO</x:v>
      </x:c>
      <x:c r="D121" s="34" t="str">
        <x:v>'@kompascom Untuk anak janganlah coba2..sebelum terlambat untuk menyesali..!!!</x:v>
      </x:c>
      <x:c r="E121" s="40" t="str"/>
      <x:c r="F121" s="40" t="str"/>
      <x:c r="G121" s="40" t="str"/>
      <x:c r="H121" s="40" t="str"/>
      <x:c r="I121" s="40" t="str"/>
      <x:c r="J121" s="34" t="str">
        <x:v>A2</x:v>
      </x:c>
      <x:c r="K121" s="34" t="str">
        <x:v>1.0</x:v>
      </x:c>
      <x:c r="L121" s="35" t="str">
        <x:f>IF(AND(E121="",F121="",G121="",H121="",I121=""),"",IF(OR(AND(H121="UNCLEAR",E121="",F121="",G121="",I121&lt;&gt;""),AND(H121="LABELED",COUNTIFS(Taksonomi!$A$5:$A$13,E121,Taksonomi!$B$5:$B$13,F121)=1,OR(G121="",AND(COUNTIF(Taksonomi!$D$4:$D$6,G121)=1,G121&lt;&gt;E121)))),"OK","PERIKSA"))</x:f>
      </x:c>
    </x:row>
    <x:row r="122" ht="145" customHeight="1">
      <x:c r="A122" s="34" t="str">
        <x:v>1849042675674325279</x:v>
      </x:c>
      <x:c r="B122" s="34" t="str">
        <x:v>1849013441761267777</x:v>
      </x:c>
      <x:c r="C122" s="34" t="str">
        <x:v>Wapres Gibran Uji Coba Makan Bergizi Gratis di SMPN 270 Jakarta https://t.co/H51DEBR81M #TempoFoto</x:v>
      </x:c>
      <x:c r="D122" s="34" t="str">
        <x:v>'@tempodotco Uji coba lah di pelosok NTT, Papua atau desa terpencil,</x:v>
      </x:c>
      <x:c r="E122" s="40" t="str"/>
      <x:c r="F122" s="40" t="str"/>
      <x:c r="G122" s="40" t="str"/>
      <x:c r="H122" s="40" t="str"/>
      <x:c r="I122" s="40" t="str"/>
      <x:c r="J122" s="34" t="str">
        <x:v>A2</x:v>
      </x:c>
      <x:c r="K122" s="34" t="str">
        <x:v>1.0</x:v>
      </x:c>
      <x:c r="L122" s="35" t="str">
        <x:f>IF(AND(E122="",F122="",G122="",H122="",I122=""),"",IF(OR(AND(H122="UNCLEAR",E122="",F122="",G122="",I122&lt;&gt;""),AND(H122="LABELED",COUNTIFS(Taksonomi!$A$5:$A$13,E122,Taksonomi!$B$5:$B$13,F122)=1,OR(G122="",AND(COUNTIF(Taksonomi!$D$4:$D$6,G122)=1,G122&lt;&gt;E122)))),"OK","PERIKSA"))</x:f>
      </x:c>
    </x:row>
    <x:row r="123" ht="145" customHeight="1">
      <x:c r="A123" s="34" t="str">
        <x:v>1903053283645968499</x:v>
      </x:c>
      <x:c r="B123" s="34" t="str">
        <x:v>1903051462932054438</x:v>
      </x:c>
      <x:c r="C123" s="34"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123" s="34" t="str">
        <x:v>'@TirtoID Apakah ada negara yg mau belajar kasih makanan basi ke rakyat ny</x:v>
      </x:c>
      <x:c r="E123" s="40" t="str"/>
      <x:c r="F123" s="40" t="str"/>
      <x:c r="G123" s="40" t="str"/>
      <x:c r="H123" s="40" t="str"/>
      <x:c r="I123" s="40" t="str"/>
      <x:c r="J123" s="34" t="str">
        <x:v>A2</x:v>
      </x:c>
      <x:c r="K123" s="34" t="str">
        <x:v>1.0</x:v>
      </x:c>
      <x:c r="L123" s="35" t="str">
        <x:f>IF(AND(E123="",F123="",G123="",H123="",I123=""),"",IF(OR(AND(H123="UNCLEAR",E123="",F123="",G123="",I123&lt;&gt;""),AND(H123="LABELED",COUNTIFS(Taksonomi!$A$5:$A$13,E123,Taksonomi!$B$5:$B$13,F123)=1,OR(G123="",AND(COUNTIF(Taksonomi!$D$4:$D$6,G123)=1,G123&lt;&gt;E123)))),"OK","PERIKSA"))</x:f>
      </x:c>
    </x:row>
    <x:row r="124" ht="145" customHeight="1">
      <x:c r="A124" s="34" t="str">
        <x:v>1849074042118303798</x:v>
      </x:c>
      <x:c r="B124" s="34" t="str">
        <x:v>1849053595938820302</x:v>
      </x:c>
      <x:c r="C124" s="34" t="str">
        <x:v>#TempoFoto Saat Wapres Gibran Uji Coba Makan Bergizi Gratis di SMPN 270 Jakarta..🍱
📸Tempo https://t.co/kyQgvOk73M</x:v>
      </x:c>
      <x:c r="D124" s="34" t="str">
        <x:v>'@tempodotco Klo nih program jadi utamain yg di pelosok dulu sih harusnya..</x:v>
      </x:c>
      <x:c r="E124" s="40" t="str"/>
      <x:c r="F124" s="40" t="str"/>
      <x:c r="G124" s="40" t="str"/>
      <x:c r="H124" s="40" t="str"/>
      <x:c r="I124" s="40" t="str"/>
      <x:c r="J124" s="34" t="str">
        <x:v>A2</x:v>
      </x:c>
      <x:c r="K124" s="34" t="str">
        <x:v>1.0</x:v>
      </x:c>
      <x:c r="L124" s="35" t="str">
        <x:f>IF(AND(E124="",F124="",G124="",H124="",I124=""),"",IF(OR(AND(H124="UNCLEAR",E124="",F124="",G124="",I124&lt;&gt;""),AND(H124="LABELED",COUNTIFS(Taksonomi!$A$5:$A$13,E124,Taksonomi!$B$5:$B$13,F124)=1,OR(G124="",AND(COUNTIF(Taksonomi!$D$4:$D$6,G124)=1,G124&lt;&gt;E124)))),"OK","PERIKSA"))</x:f>
      </x:c>
    </x:row>
    <x:row r="125" ht="145" customHeight="1">
      <x:c r="A125" s="34" t="str">
        <x:v>1882249612368757073</x:v>
      </x:c>
      <x:c r="B125" s="34" t="str">
        <x:v>1882224797985472681</x:v>
      </x:c>
      <x:c r="C125" s="34" t="str">
        <x:v>650 Ribu Anak Sudah Terima MBG, Prabowo Yakin Akademik Meningkat
https://t.co/W5HeeLIoWW</x:v>
      </x:c>
      <x:c r="D125" s="34" t="str">
        <x:v>'@TirtoID Akademik ga ada bubungan dgn MBG.
Msh byk anak2 yg memiliki potensi besar tdk sanggup bersekolah krn tdk memiliki biaya. Sebaiknya program MBG diganti dgn sekolah gratis, undang semua anak termasuk yg berada di pelosok untuk bersekolah.</x:v>
      </x:c>
      <x:c r="E125" s="40" t="str"/>
      <x:c r="F125" s="40" t="str"/>
      <x:c r="G125" s="40" t="str"/>
      <x:c r="H125" s="40" t="str"/>
      <x:c r="I125" s="40" t="str"/>
      <x:c r="J125" s="34" t="str">
        <x:v>A2</x:v>
      </x:c>
      <x:c r="K125" s="34" t="str">
        <x:v>1.0</x:v>
      </x:c>
      <x:c r="L125" s="35" t="str">
        <x:f>IF(AND(E125="",F125="",G125="",H125="",I125=""),"",IF(OR(AND(H125="UNCLEAR",E125="",F125="",G125="",I125&lt;&gt;""),AND(H125="LABELED",COUNTIFS(Taksonomi!$A$5:$A$13,E125,Taksonomi!$B$5:$B$13,F125)=1,OR(G125="",AND(COUNTIF(Taksonomi!$D$4:$D$6,G125)=1,G125&lt;&gt;E125)))),"OK","PERIKSA"))</x:f>
      </x:c>
    </x:row>
    <x:row r="126" ht="145" customHeight="1">
      <x:c r="A126" s="34" t="str">
        <x:v>1972975532792000748</x:v>
      </x:c>
      <x:c r="B126" s="34" t="str">
        <x:v>1972904242605183343</x:v>
      </x:c>
      <x:c r="C126" s="34" t="str">
        <x:v>Keracunan Makan Bergizi Gratis https://t.co/GPOXGys0FB</x:v>
      </x:c>
      <x:c r="D126" s="34" t="str">
        <x:v>'@tempodotco Gratis? Itu bisa dipertanyakan dasar hukumnya ga? Itu kan pake anggaran apbn bukan cuma2 jadi ga bisa disebut gratis dong.</x:v>
      </x:c>
      <x:c r="E126" s="40" t="str"/>
      <x:c r="F126" s="40" t="str"/>
      <x:c r="G126" s="40" t="str"/>
      <x:c r="H126" s="40" t="str"/>
      <x:c r="I126" s="40" t="str"/>
      <x:c r="J126" s="34" t="str">
        <x:v>A2</x:v>
      </x:c>
      <x:c r="K126" s="34" t="str">
        <x:v>1.0</x:v>
      </x:c>
      <x:c r="L126" s="35" t="str">
        <x:f>IF(AND(E126="",F126="",G126="",H126="",I126=""),"",IF(OR(AND(H126="UNCLEAR",E126="",F126="",G126="",I126&lt;&gt;""),AND(H126="LABELED",COUNTIFS(Taksonomi!$A$5:$A$13,E126,Taksonomi!$B$5:$B$13,F126)=1,OR(G126="",AND(COUNTIF(Taksonomi!$D$4:$D$6,G126)=1,G126&lt;&gt;E126)))),"OK","PERIKSA"))</x:f>
      </x:c>
    </x:row>
    <x:row r="127" ht="145" customHeight="1">
      <x:c r="A127" s="34" t="str">
        <x:v>2022143914237727159</x:v>
      </x:c>
      <x:c r="B127" s="34" t="str">
        <x:v>2021930606360506488</x:v>
      </x:c>
      <x:c r="C127"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27" s="34" t="str">
        <x:v>'@menuembegejelek saya kadang juga nggak habis pikir, buat apa punya dapur MBG kalau ujung2nya dikasihnya kering2an. Apa gunanya dapur itu?</x:v>
      </x:c>
      <x:c r="E127" s="40" t="str"/>
      <x:c r="F127" s="40" t="str"/>
      <x:c r="G127" s="40" t="str"/>
      <x:c r="H127" s="40" t="str"/>
      <x:c r="I127" s="40" t="str"/>
      <x:c r="J127" s="34" t="str">
        <x:v>A2</x:v>
      </x:c>
      <x:c r="K127" s="34" t="str">
        <x:v>1.0</x:v>
      </x:c>
      <x:c r="L127" s="35" t="str">
        <x:f>IF(AND(E127="",F127="",G127="",H127="",I127=""),"",IF(OR(AND(H127="UNCLEAR",E127="",F127="",G127="",I127&lt;&gt;""),AND(H127="LABELED",COUNTIFS(Taksonomi!$A$5:$A$13,E127,Taksonomi!$B$5:$B$13,F127)=1,OR(G127="",AND(COUNTIF(Taksonomi!$D$4:$D$6,G127)=1,G127&lt;&gt;E127)))),"OK","PERIKSA"))</x:f>
      </x:c>
    </x:row>
    <x:row r="128" ht="145" customHeight="1">
      <x:c r="A128" s="34" t="str">
        <x:v>1924387640486527081</x:v>
      </x:c>
      <x:c r="B128" s="34" t="str">
        <x:v>1924264010029154441</x:v>
      </x:c>
      <x:c r="C128" s="34" t="str">
        <x:v>makan bergizi gratis? anak teman ga mau makan dari mbg karena biasa makannhangat dan diantar ibunya dari rumah. eh ibunya dipanggil sekolah kenapa anaknya ga mau makan mbg itu. saya kira mudarat proyek politik ini.</x:v>
      </x:c>
      <x:c r="D128" s="34" t="str">
        <x:v>'@saiful_mujani Kl di sekolah anak saya, gurunya malah senang kl ada yg bawa bekal sendiri
Ya Alhamdulillah dpt dapur yg masaknya bener, enak, jd anak2 doyan dan sejauh ini ga bermasalah</x:v>
      </x:c>
      <x:c r="E128" s="40" t="str"/>
      <x:c r="F128" s="40" t="str"/>
      <x:c r="G128" s="40" t="str"/>
      <x:c r="H128" s="40" t="str"/>
      <x:c r="I128" s="40" t="str"/>
      <x:c r="J128" s="34" t="str">
        <x:v>A2</x:v>
      </x:c>
      <x:c r="K128" s="34" t="str">
        <x:v>1.0</x:v>
      </x:c>
      <x:c r="L128" s="35" t="str">
        <x:f>IF(AND(E128="",F128="",G128="",H128="",I128=""),"",IF(OR(AND(H128="UNCLEAR",E128="",F128="",G128="",I128&lt;&gt;""),AND(H128="LABELED",COUNTIFS(Taksonomi!$A$5:$A$13,E128,Taksonomi!$B$5:$B$13,F128)=1,OR(G128="",AND(COUNTIF(Taksonomi!$D$4:$D$6,G128)=1,G128&lt;&gt;E128)))),"OK","PERIKSA"))</x:f>
      </x:c>
    </x:row>
    <x:row r="129" ht="145" customHeight="1">
      <x:c r="A129" s="34" t="str">
        <x:v>1971141376520998912</x:v>
      </x:c>
      <x:c r="B129" s="34" t="str">
        <x:v>1971073094778511523</x:v>
      </x:c>
      <x:c r="C129" s="34" t="str">
        <x:v>Nutritionist DR. dr. Tan Shot Yen, M.Hum blasts Badan Gizi Nasional over the poor quality of MBG during DPR meeting. https://t.co/5it2C81elJ</x:v>
      </x:c>
      <x:c r="D129" s="34" t="str">
        <x:v>'@IndoPopBase Boleh MBG tetap jalan. Tapi harus: ganti jajaran pengurus BGN dengan golongan teknokrat di bidangnya, transparansi anggaran, manajemen rantai pasok yg bagus, distribusi yg merata, dan mampu menggerakkan ekonomi rakyat.</x:v>
      </x:c>
      <x:c r="E129" s="40" t="str"/>
      <x:c r="F129" s="40" t="str"/>
      <x:c r="G129" s="40" t="str"/>
      <x:c r="H129" s="40" t="str"/>
      <x:c r="I129" s="40" t="str"/>
      <x:c r="J129" s="34" t="str">
        <x:v>A2</x:v>
      </x:c>
      <x:c r="K129" s="34" t="str">
        <x:v>1.0</x:v>
      </x:c>
      <x:c r="L129" s="35" t="str">
        <x:f>IF(AND(E129="",F129="",G129="",H129="",I129=""),"",IF(OR(AND(H129="UNCLEAR",E129="",F129="",G129="",I129&lt;&gt;""),AND(H129="LABELED",COUNTIFS(Taksonomi!$A$5:$A$13,E129,Taksonomi!$B$5:$B$13,F129)=1,OR(G129="",AND(COUNTIF(Taksonomi!$D$4:$D$6,G129)=1,G129&lt;&gt;E129)))),"OK","PERIKSA"))</x:f>
      </x:c>
    </x:row>
    <x:row r="130" ht="145" customHeight="1">
      <x:c r="A130" s="34" t="str">
        <x:v>1893675158939836735</x:v>
      </x:c>
      <x:c r="B130" s="34" t="str">
        <x:v>1893601702273806465</x:v>
      </x:c>
      <x:c r="C130" s="34" t="str">
        <x:v>MBG:                                  Equil(e-katalog):
Rp10.000                          Rp34.650 https://t.co/L6khBkGHUA</x:v>
      </x:c>
      <x:c r="D130" s="34" t="str">
        <x:v>'@ARSIPAJA efisiensi hnya utk rakyat, pejabat mah gas trus</x:v>
      </x:c>
      <x:c r="E130" s="40" t="str"/>
      <x:c r="F130" s="40" t="str"/>
      <x:c r="G130" s="40" t="str"/>
      <x:c r="H130" s="40" t="str"/>
      <x:c r="I130" s="40" t="str"/>
      <x:c r="J130" s="34" t="str">
        <x:v>A2</x:v>
      </x:c>
      <x:c r="K130" s="34" t="str">
        <x:v>1.0</x:v>
      </x:c>
      <x:c r="L130" s="35" t="str">
        <x:f>IF(AND(E130="",F130="",G130="",H130="",I130=""),"",IF(OR(AND(H130="UNCLEAR",E130="",F130="",G130="",I130&lt;&gt;""),AND(H130="LABELED",COUNTIFS(Taksonomi!$A$5:$A$13,E130,Taksonomi!$B$5:$B$13,F130)=1,OR(G130="",AND(COUNTIF(Taksonomi!$D$4:$D$6,G130)=1,G130&lt;&gt;E130)))),"OK","PERIKSA"))</x:f>
      </x:c>
    </x:row>
    <x:row r="131" ht="145" customHeight="1">
      <x:c r="A131" s="34" t="str">
        <x:v>1919521540212658679</x:v>
      </x:c>
      <x:c r="B131" s="34" t="str">
        <x:v>1919415902879023381</x:v>
      </x:c>
      <x:c r="C131" s="34"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131" s="34" t="str">
        <x:v>'@IndoPopBase lu kalau jadi ketua rt udah digebukin warga anjrit</x:v>
      </x:c>
      <x:c r="E131" s="40" t="str"/>
      <x:c r="F131" s="40" t="str"/>
      <x:c r="G131" s="40" t="str"/>
      <x:c r="H131" s="40" t="str"/>
      <x:c r="I131" s="40" t="str"/>
      <x:c r="J131" s="34" t="str">
        <x:v>A2</x:v>
      </x:c>
      <x:c r="K131" s="34" t="str">
        <x:v>1.0</x:v>
      </x:c>
      <x:c r="L131" s="35" t="str">
        <x:f>IF(AND(E131="",F131="",G131="",H131="",I131=""),"",IF(OR(AND(H131="UNCLEAR",E131="",F131="",G131="",I131&lt;&gt;""),AND(H131="LABELED",COUNTIFS(Taksonomi!$A$5:$A$13,E131,Taksonomi!$B$5:$B$13,F131)=1,OR(G131="",AND(COUNTIF(Taksonomi!$D$4:$D$6,G131)=1,G131&lt;&gt;E131)))),"OK","PERIKSA"))</x:f>
      </x:c>
    </x:row>
    <x:row r="132" ht="145" customHeight="1">
      <x:c r="A132" s="34" t="str">
        <x:v>1958468131577335952</x:v>
      </x:c>
      <x:c r="B132" s="34" t="str">
        <x:v>1958459925472141690</x:v>
      </x:c>
      <x:c r="C132" s="34"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132" s="34" t="str">
        <x:v>'@kompascom Setiap dapur harusnya wajib cek quality dari BPOM sebelum dibagikan.</x:v>
      </x:c>
      <x:c r="E132" s="40" t="str"/>
      <x:c r="F132" s="40" t="str"/>
      <x:c r="G132" s="40" t="str"/>
      <x:c r="H132" s="40" t="str"/>
      <x:c r="I132" s="40" t="str"/>
      <x:c r="J132" s="34" t="str">
        <x:v>A2</x:v>
      </x:c>
      <x:c r="K132" s="34" t="str">
        <x:v>1.0</x:v>
      </x:c>
      <x:c r="L132" s="35" t="str">
        <x:f>IF(AND(E132="",F132="",G132="",H132="",I132=""),"",IF(OR(AND(H132="UNCLEAR",E132="",F132="",G132="",I132&lt;&gt;""),AND(H132="LABELED",COUNTIFS(Taksonomi!$A$5:$A$13,E132,Taksonomi!$B$5:$B$13,F132)=1,OR(G132="",AND(COUNTIF(Taksonomi!$D$4:$D$6,G132)=1,G132&lt;&gt;E132)))),"OK","PERIKSA"))</x:f>
      </x:c>
    </x:row>
    <x:row r="133" ht="145" customHeight="1">
      <x:c r="A133" s="34" t="str">
        <x:v>1818950207398367389</x:v>
      </x:c>
      <x:c r="B133" s="34" t="str">
        <x:v>1818890941253538185</x:v>
      </x:c>
      <x:c r="C133" s="34" t="str">
        <x:v>Gibran Uji Coba Makan Bergizi Gratis di Surabaya, Anggaran Rp 15 Ribu..🍱
#TempoFoto https://t.co/ufl3iPsfyZ</x:v>
      </x:c>
      <x:c r="D133" s="34" t="str">
        <x:v>'@tempodotco Katanya prioritas di daerah 3T tapi uji coba di kota terus</x:v>
      </x:c>
      <x:c r="E133" s="40" t="str"/>
      <x:c r="F133" s="40" t="str"/>
      <x:c r="G133" s="40" t="str"/>
      <x:c r="H133" s="40" t="str"/>
      <x:c r="I133" s="40" t="str"/>
      <x:c r="J133" s="34" t="str">
        <x:v>A2</x:v>
      </x:c>
      <x:c r="K133" s="34" t="str">
        <x:v>1.0</x:v>
      </x:c>
      <x:c r="L133" s="35" t="str">
        <x:f>IF(AND(E133="",F133="",G133="",H133="",I133=""),"",IF(OR(AND(H133="UNCLEAR",E133="",F133="",G133="",I133&lt;&gt;""),AND(H133="LABELED",COUNTIFS(Taksonomi!$A$5:$A$13,E133,Taksonomi!$B$5:$B$13,F133)=1,OR(G133="",AND(COUNTIF(Taksonomi!$D$4:$D$6,G133)=1,G133&lt;&gt;E133)))),"OK","PERIKSA"))</x:f>
      </x:c>
    </x:row>
    <x:row r="134" ht="145" customHeight="1">
      <x:c r="A134" s="34" t="str">
        <x:v>2020720594019299800</x:v>
      </x:c>
      <x:c r="B134" s="34" t="str">
        <x:v>2019406266465153282</x:v>
      </x:c>
      <x:c r="C134" s="34" t="str">
        <x:v>MBG program yg keren di kepala Prabowo sendiri</x:v>
      </x:c>
      <x:c r="D134" s="34" t="str">
        <x:v>'@strootsys Waktu dengar IKN akan habiskan ± 500 T aja sudah banyak yang gak setuju… Lha ini Embege kalau berjalan 2 tahun aja sudah melampaui IKN???
Apalagi banyak yang keracunan, rawan dikorupsi + "dipaksakan" sampai potong anggaran dari sektor² yang sangat penting bagi rakyat. 🤦😔</x:v>
      </x:c>
      <x:c r="E134" s="40" t="str"/>
      <x:c r="F134" s="40" t="str"/>
      <x:c r="G134" s="40" t="str"/>
      <x:c r="H134" s="40" t="str"/>
      <x:c r="I134" s="40" t="str"/>
      <x:c r="J134" s="34" t="str">
        <x:v>A2</x:v>
      </x:c>
      <x:c r="K134" s="34" t="str">
        <x:v>1.0</x:v>
      </x:c>
      <x:c r="L134" s="35" t="str">
        <x:f>IF(AND(E134="",F134="",G134="",H134="",I134=""),"",IF(OR(AND(H134="UNCLEAR",E134="",F134="",G134="",I134&lt;&gt;""),AND(H134="LABELED",COUNTIFS(Taksonomi!$A$5:$A$13,E134,Taksonomi!$B$5:$B$13,F134)=1,OR(G134="",AND(COUNTIF(Taksonomi!$D$4:$D$6,G134)=1,G134&lt;&gt;E134)))),"OK","PERIKSA"))</x:f>
      </x:c>
    </x:row>
    <x:row r="135" ht="145" customHeight="1">
      <x:c r="A135" s="34" t="str">
        <x:v>1880236674208444629</x:v>
      </x:c>
      <x:c r="B135" s="34" t="str">
        <x:v>1879896388353315025</x:v>
      </x:c>
      <x:c r="C135" s="34" t="str">
        <x:v>Anggaran Infrastruktur Dikurangi untuk Makan Bergizi Gratis
https://t.co/POaX5lixvp</x:v>
      </x:c>
      <x:c r="D135" s="34" t="str">
        <x:v>'@tempodotco gapapa yaa jalan menuju sekolah rusak parah asal sampe sana perut kenyang 🥰🤪🤡</x:v>
      </x:c>
      <x:c r="E135" s="40" t="str"/>
      <x:c r="F135" s="40" t="str"/>
      <x:c r="G135" s="40" t="str"/>
      <x:c r="H135" s="40" t="str"/>
      <x:c r="I135" s="40" t="str"/>
      <x:c r="J135" s="34" t="str">
        <x:v>A2</x:v>
      </x:c>
      <x:c r="K135" s="34" t="str">
        <x:v>1.0</x:v>
      </x:c>
      <x:c r="L135" s="35" t="str">
        <x:f>IF(AND(E135="",F135="",G135="",H135="",I135=""),"",IF(OR(AND(H135="UNCLEAR",E135="",F135="",G135="",I135&lt;&gt;""),AND(H135="LABELED",COUNTIFS(Taksonomi!$A$5:$A$13,E135,Taksonomi!$B$5:$B$13,F135)=1,OR(G135="",AND(COUNTIF(Taksonomi!$D$4:$D$6,G135)=1,G135&lt;&gt;E135)))),"OK","PERIKSA"))</x:f>
      </x:c>
    </x:row>
    <x:row r="136" ht="145" customHeight="1">
      <x:c r="A136" s="34" t="str">
        <x:v>1915028266471297338</x:v>
      </x:c>
      <x:c r="B136" s="34" t="str">
        <x:v>1915028262063071639</x:v>
      </x:c>
      <x:c r="C136" s="34" t="str">
        <x:v>Program makan bergizi gratis bakal menghabiskan anggaran Rp 71 triliun tahun ini. Siapa para penikmatnya?🤷‍♀️
#TempoThread https://t.co/0hHLvXsOZT</x:v>
      </x:c>
      <x:c r="D136" s="34" t="str">
        <x:v>Akhir Januari dan awal April 2025, Tempo menyambangi Dapur Satuan Pelayanan Pemenuhan Gizi (SPPG) Kebayunan di Depok, Jawa Barat.
Pagi hari itu, pekerja berseragam biru tampak berkemas, dan malam harinya dapur terkunci rapat.</x:v>
      </x:c>
      <x:c r="E136" s="40" t="str"/>
      <x:c r="F136" s="40" t="str"/>
      <x:c r="G136" s="40" t="str"/>
      <x:c r="H136" s="40" t="str"/>
      <x:c r="I136" s="40" t="str"/>
      <x:c r="J136" s="34" t="str">
        <x:v>A2</x:v>
      </x:c>
      <x:c r="K136" s="34" t="str">
        <x:v>1.0</x:v>
      </x:c>
      <x:c r="L136" s="35" t="str">
        <x:f>IF(AND(E136="",F136="",G136="",H136="",I136=""),"",IF(OR(AND(H136="UNCLEAR",E136="",F136="",G136="",I136&lt;&gt;""),AND(H136="LABELED",COUNTIFS(Taksonomi!$A$5:$A$13,E136,Taksonomi!$B$5:$B$13,F136)=1,OR(G136="",AND(COUNTIF(Taksonomi!$D$4:$D$6,G136)=1,G136&lt;&gt;E136)))),"OK","PERIKSA"))</x:f>
      </x:c>
    </x:row>
    <x:row r="137" ht="145" customHeight="1">
      <x:c r="A137" s="34" t="str">
        <x:v>1876143327776850262</x:v>
      </x:c>
      <x:c r="B137" s="34" t="str">
        <x:v>1876127805462696292</x:v>
      </x:c>
      <x:c r="C137" s="34" t="str">
        <x:v>Budi Arie Tinjau Dapur Makan Bergizi Gratis: Ada Ayam Teriyaki, Baunya Enak
https://t.co/N1MkDDljn9</x:v>
      </x:c>
      <x:c r="D137" s="34" t="str">
        <x:v>'@tempodotco Rakyat teriyak ada bau korupsi??</x:v>
      </x:c>
      <x:c r="E137" s="40" t="str"/>
      <x:c r="F137" s="40" t="str"/>
      <x:c r="G137" s="40" t="str"/>
      <x:c r="H137" s="40" t="str"/>
      <x:c r="I137" s="40" t="str"/>
      <x:c r="J137" s="34" t="str">
        <x:v>A2</x:v>
      </x:c>
      <x:c r="K137" s="34" t="str">
        <x:v>1.0</x:v>
      </x:c>
      <x:c r="L137" s="35" t="str">
        <x:f>IF(AND(E137="",F137="",G137="",H137="",I137=""),"",IF(OR(AND(H137="UNCLEAR",E137="",F137="",G137="",I137&lt;&gt;""),AND(H137="LABELED",COUNTIFS(Taksonomi!$A$5:$A$13,E137,Taksonomi!$B$5:$B$13,F137)=1,OR(G137="",AND(COUNTIF(Taksonomi!$D$4:$D$6,G137)=1,G137&lt;&gt;E137)))),"OK","PERIKSA"))</x:f>
      </x:c>
    </x:row>
    <x:row r="138" ht="145" customHeight="1">
      <x:c r="A138" s="34" t="str">
        <x:v>1998582423928594649</x:v>
      </x:c>
      <x:c r="B138" s="34" t="str">
        <x:v>1997155109772648720</x:v>
      </x:c>
      <x:c r="C138" s="34" t="str">
        <x:v>Anggaran MBG diproyeksikan 1,2 Triliun per hari. Pak @prabowo gimana klo stop aja dulu MBG selama 2 bulan, dananya dialihkan untuk pemulihan bencana Sumatera secara total. 
Pikirian sederhanya kan gtu :) https://t.co/pFC8S0WTMp</x:v>
      </x:c>
      <x:c r="D138" s="34" t="str">
        <x:v>'@BosPurwa @prabowo Kerja Nyata pemerintah terlihat dari distribusi MBG yang langsung dialihkan bagi warga banjir, memastikan kebutuhan pangan tetap terpenuhi. #LanjutkanMBG</x:v>
      </x:c>
      <x:c r="E138" s="40" t="str"/>
      <x:c r="F138" s="40" t="str"/>
      <x:c r="G138" s="40" t="str"/>
      <x:c r="H138" s="40" t="str"/>
      <x:c r="I138" s="40" t="str"/>
      <x:c r="J138" s="34" t="str">
        <x:v>A2</x:v>
      </x:c>
      <x:c r="K138" s="34" t="str">
        <x:v>1.0</x:v>
      </x:c>
      <x:c r="L138" s="35" t="str">
        <x:f>IF(AND(E138="",F138="",G138="",H138="",I138=""),"",IF(OR(AND(H138="UNCLEAR",E138="",F138="",G138="",I138&lt;&gt;""),AND(H138="LABELED",COUNTIFS(Taksonomi!$A$5:$A$13,E138,Taksonomi!$B$5:$B$13,F138)=1,OR(G138="",AND(COUNTIF(Taksonomi!$D$4:$D$6,G138)=1,G138&lt;&gt;E138)))),"OK","PERIKSA"))</x:f>
      </x:c>
    </x:row>
    <x:row r="139" ht="145" customHeight="1">
      <x:c r="A139" s="34" t="str">
        <x:v>1876176517212049530</x:v>
      </x:c>
      <x:c r="B139" s="34" t="str">
        <x:v>1876172762559242292</x:v>
      </x:c>
      <x:c r="C139" s="34" t="str">
        <x:v>Anak-anak itu kalau ngomong jujur ga kayak buzzer dan jubir PCO2an..
Krisna kamu kalau besar pasti jadi anak hebat dan pemberani..🔥🔥🔥
"Rasanya Aneh, kulitnya itu sangat keras bikin ga nafsu makan" https://t.co/UnaDixamiP</x:v>
      </x:c>
      <x:c r="D139" s="34" t="str">
        <x:v>'@PaltiWest2024 Kepolosan anak2 sangat jujur apa adanya...</x:v>
      </x:c>
      <x:c r="E139" s="40" t="str"/>
      <x:c r="F139" s="40" t="str"/>
      <x:c r="G139" s="40" t="str"/>
      <x:c r="H139" s="40" t="str"/>
      <x:c r="I139" s="40" t="str"/>
      <x:c r="J139" s="34" t="str">
        <x:v>A2</x:v>
      </x:c>
      <x:c r="K139" s="34" t="str">
        <x:v>1.0</x:v>
      </x:c>
      <x:c r="L139" s="35" t="str">
        <x:f>IF(AND(E139="",F139="",G139="",H139="",I139=""),"",IF(OR(AND(H139="UNCLEAR",E139="",F139="",G139="",I139&lt;&gt;""),AND(H139="LABELED",COUNTIFS(Taksonomi!$A$5:$A$13,E139,Taksonomi!$B$5:$B$13,F139)=1,OR(G139="",AND(COUNTIF(Taksonomi!$D$4:$D$6,G139)=1,G139&lt;&gt;E139)))),"OK","PERIKSA"))</x:f>
      </x:c>
    </x:row>
    <x:row r="140" ht="145" customHeight="1">
      <x:c r="A140" s="34" t="str">
        <x:v>1876305514478612797</x:v>
      </x:c>
      <x:c r="B140" s="34" t="str">
        <x:v>1876257509205577986</x:v>
      </x:c>
      <x:c r="C140" s="34" t="str">
        <x:v>Yang ini lebih kasihan lagi.. Malah trauma jadinya..
Makan Bergizi Gratis kok malah jatuhin mental anak-anak!!! https://t.co/9WxV7B9Hps</x:v>
      </x:c>
      <x:c r="D140" s="34" t="str">
        <x:v>'@PaltiWest2024 Yang Wawancara pura-pura Tolol, dah tau Makanan Gratis Gak Enak apalagi Bergizi, Roti Bininnya ajah 400 ribu 🤣</x:v>
      </x:c>
      <x:c r="E140" s="40" t="str"/>
      <x:c r="F140" s="40" t="str"/>
      <x:c r="G140" s="40" t="str"/>
      <x:c r="H140" s="40" t="str"/>
      <x:c r="I140" s="40" t="str"/>
      <x:c r="J140" s="34" t="str">
        <x:v>A2</x:v>
      </x:c>
      <x:c r="K140" s="34" t="str">
        <x:v>1.0</x:v>
      </x:c>
      <x:c r="L140" s="35" t="str">
        <x:f>IF(AND(E140="",F140="",G140="",H140="",I140=""),"",IF(OR(AND(H140="UNCLEAR",E140="",F140="",G140="",I140&lt;&gt;""),AND(H140="LABELED",COUNTIFS(Taksonomi!$A$5:$A$13,E140,Taksonomi!$B$5:$B$13,F140)=1,OR(G140="",AND(COUNTIF(Taksonomi!$D$4:$D$6,G140)=1,G140&lt;&gt;E140)))),"OK","PERIKSA"))</x:f>
      </x:c>
    </x:row>
    <x:row r="141" ht="145" customHeight="1">
      <x:c r="A141" s="34" t="str">
        <x:v>1974463996280664557</x:v>
      </x:c>
      <x:c r="B141" s="34" t="str">
        <x:v>1974339875752309143</x:v>
      </x:c>
      <x:c r="C141" s="34" t="str">
        <x:v>"Ini kan (MBG) baru sembilan bulan. Jadi kita jangan terus buru-buru kritik sana, kritik sini. Ya kritik boleh lah, enggak ada masalah. Tapi maksud saya ini membangun simpul-simpul ekonomi baru," ujar Luhut.
Baca selengkapnya 👇
https://t.co/LRTBTdXk9X
~LL #Luhut #MBG https://t.co/LpLWKlMgPT</x:v>
      </x:c>
      <x:c r="D141" s="34" t="str">
        <x:v>'@kompascom Kritik kalau sifatnya membangunkan bagus opung</x:v>
      </x:c>
      <x:c r="E141" s="40" t="str"/>
      <x:c r="F141" s="40" t="str"/>
      <x:c r="G141" s="40" t="str"/>
      <x:c r="H141" s="40" t="str"/>
      <x:c r="I141" s="40" t="str"/>
      <x:c r="J141" s="34" t="str">
        <x:v>A2</x:v>
      </x:c>
      <x:c r="K141" s="34" t="str">
        <x:v>1.0</x:v>
      </x:c>
      <x:c r="L141" s="35" t="str">
        <x:f>IF(AND(E141="",F141="",G141="",H141="",I141=""),"",IF(OR(AND(H141="UNCLEAR",E141="",F141="",G141="",I141&lt;&gt;""),AND(H141="LABELED",COUNTIFS(Taksonomi!$A$5:$A$13,E141,Taksonomi!$B$5:$B$13,F141)=1,OR(G141="",AND(COUNTIF(Taksonomi!$D$4:$D$6,G141)=1,G141&lt;&gt;E141)))),"OK","PERIKSA"))</x:f>
      </x:c>
    </x:row>
    <x:row r="142" ht="145" customHeight="1">
      <x:c r="A142" s="34" t="str">
        <x:v>1919561808450572362</x:v>
      </x:c>
      <x:c r="B142" s="34" t="str">
        <x:v>1919363112299528344</x:v>
      </x:c>
      <x:c r="C142" s="34" t="str">
        <x:v>Prabowo: Angka Keberhasilan MBG 99,99 Persen https://t.co/iEF8asMhHV</x:v>
      </x:c>
      <x:c r="D142" s="34" t="str">
        <x:v>'@CNNIndonesia berhasil ini acuannya dari mana? kalo berhasil melihat dengan "yang penting kan semua anak dapet" iyaa memang, tapi dilihat ga efek setelahnya? keracunan? kotak kosong? lauk kurang? vendor belum dibayar? logika ga jalan</x:v>
      </x:c>
      <x:c r="E142" s="40" t="str"/>
      <x:c r="F142" s="40" t="str"/>
      <x:c r="G142" s="40" t="str"/>
      <x:c r="H142" s="40" t="str"/>
      <x:c r="I142" s="40" t="str"/>
      <x:c r="J142" s="34" t="str">
        <x:v>A2</x:v>
      </x:c>
      <x:c r="K142" s="34" t="str">
        <x:v>1.0</x:v>
      </x:c>
      <x:c r="L142" s="35" t="str">
        <x:f>IF(AND(E142="",F142="",G142="",H142="",I142=""),"",IF(OR(AND(H142="UNCLEAR",E142="",F142="",G142="",I142&lt;&gt;""),AND(H142="LABELED",COUNTIFS(Taksonomi!$A$5:$A$13,E142,Taksonomi!$B$5:$B$13,F142)=1,OR(G142="",AND(COUNTIF(Taksonomi!$D$4:$D$6,G142)=1,G142&lt;&gt;E142)))),"OK","PERIKSA"))</x:f>
      </x:c>
    </x:row>
    <x:row r="143" ht="145" customHeight="1">
      <x:c r="A143" s="34" t="str">
        <x:v>2015959504014475720</x:v>
      </x:c>
      <x:c r="B143" s="34" t="str">
        <x:v>2015727069381177450</x:v>
      </x:c>
      <x:c r="C143" s="34" t="str">
        <x:v>Pelindo menegaskan dapur MBG di rumah kakek Wawan berdiri di lahan milik Pelindo. Pelindo menyebut Wawan hanya membeli bangunan, bukan tanah.
Baca selengkapnya: https://t.co/SyzJUzAl08
_RKD #Pelindo #MBG #Wawan https://t.co/7SbhZeIt6C</x:v>
      </x:c>
      <x:c r="D143" s="34" t="str">
        <x:v>'@kompascom kok sekelas pelindo ada orang bodoh seperti itu?
nyogok kah pas masuk?
pake orang dalem kah pas masuk?
ijazah paket C kah pas masuk?</x:v>
      </x:c>
      <x:c r="E143" s="40" t="str"/>
      <x:c r="F143" s="40" t="str"/>
      <x:c r="G143" s="40" t="str"/>
      <x:c r="H143" s="40" t="str"/>
      <x:c r="I143" s="40" t="str"/>
      <x:c r="J143" s="34" t="str">
        <x:v>A2</x:v>
      </x:c>
      <x:c r="K143" s="34" t="str">
        <x:v>1.0</x:v>
      </x:c>
      <x:c r="L143" s="35" t="str">
        <x:f>IF(AND(E143="",F143="",G143="",H143="",I143=""),"",IF(OR(AND(H143="UNCLEAR",E143="",F143="",G143="",I143&lt;&gt;""),AND(H143="LABELED",COUNTIFS(Taksonomi!$A$5:$A$13,E143,Taksonomi!$B$5:$B$13,F143)=1,OR(G143="",AND(COUNTIF(Taksonomi!$D$4:$D$6,G143)=1,G143&lt;&gt;E143)))),"OK","PERIKSA"))</x:f>
      </x:c>
    </x:row>
    <x:row r="144" ht="145" customHeight="1">
      <x:c r="A144" s="34" t="str">
        <x:v>1915575913468879175</x:v>
      </x:c>
      <x:c r="B144" s="34" t="str">
        <x:v>1915376093122695573</x:v>
      </x:c>
      <x:c r="C144" s="34" t="str">
        <x:v>Kepala Badan Gizi Nasional (BGN) Dadan Hindayana mengungkap, penyebab puluhan siswa keracunan usai makan bergizi gratis di Cianjur sulit dideteksi. 
Menurutnya, sisa makanan yang diduga menimbulkan keracunan itu telah dibersihkan oleh pihak sekolah. 
~J #MBG #MakanGratis https://t.co/5KyHoUhSXm</x:v>
      </x:c>
      <x:c r="D144" s="34" t="str">
        <x:v>'@kompascom Wk..wk..wk..sbg warga cianjur sangat membagong statement kpl bgn ini, seolah di cjr ga ada lab yg bisa mendeteksi penyebab keracunan selain dr sisa mknan yg diduga penyebabnya...coba cek dilabnya BBPPMPV Pertanian milik kemendikbudriset di mande</x:v>
      </x:c>
      <x:c r="E144" s="40" t="str"/>
      <x:c r="F144" s="40" t="str"/>
      <x:c r="G144" s="40" t="str"/>
      <x:c r="H144" s="40" t="str"/>
      <x:c r="I144" s="40" t="str"/>
      <x:c r="J144" s="34" t="str">
        <x:v>A2</x:v>
      </x:c>
      <x:c r="K144" s="34" t="str">
        <x:v>1.0</x:v>
      </x:c>
      <x:c r="L144" s="35" t="str">
        <x:f>IF(AND(E144="",F144="",G144="",H144="",I144=""),"",IF(OR(AND(H144="UNCLEAR",E144="",F144="",G144="",I144&lt;&gt;""),AND(H144="LABELED",COUNTIFS(Taksonomi!$A$5:$A$13,E144,Taksonomi!$B$5:$B$13,F144)=1,OR(G144="",AND(COUNTIF(Taksonomi!$D$4:$D$6,G144)=1,G144&lt;&gt;E144)))),"OK","PERIKSA"))</x:f>
      </x:c>
    </x:row>
    <x:row r="145" ht="145" customHeight="1">
      <x:c r="A145" s="34" t="str">
        <x:v>1882781629627912586</x:v>
      </x:c>
      <x:c r="B145" s="34" t="str">
        <x:v>1882224797985472681</x:v>
      </x:c>
      <x:c r="C145" s="34" t="str">
        <x:v>650 Ribu Anak Sudah Terima MBG, Prabowo Yakin Akademik Meningkat
https://t.co/W5HeeLIoWW</x:v>
      </x:c>
      <x:c r="D145" s="34" t="str">
        <x:v>'@TirtoID kalo emg niat mau memperbaiki sdm, perhatikan itu petani, peternak, dan nelayan. bantu mereka supaya produksi mereka bs lbh efisien yg artinya akan menambah supply, lalu efisiensi rantai distribusi agar harga pangan murah, jd orang2 ekonomi bawah tetap bs beli makanan bergizi</x:v>
      </x:c>
      <x:c r="E145" s="40" t="str"/>
      <x:c r="F145" s="40" t="str"/>
      <x:c r="G145" s="40" t="str"/>
      <x:c r="H145" s="40" t="str"/>
      <x:c r="I145" s="40" t="str"/>
      <x:c r="J145" s="34" t="str">
        <x:v>A2</x:v>
      </x:c>
      <x:c r="K145" s="34" t="str">
        <x:v>1.0</x:v>
      </x:c>
      <x:c r="L145" s="35" t="str">
        <x:f>IF(AND(E145="",F145="",G145="",H145="",I145=""),"",IF(OR(AND(H145="UNCLEAR",E145="",F145="",G145="",I145&lt;&gt;""),AND(H145="LABELED",COUNTIFS(Taksonomi!$A$5:$A$13,E145,Taksonomi!$B$5:$B$13,F145)=1,OR(G145="",AND(COUNTIF(Taksonomi!$D$4:$D$6,G145)=1,G145&lt;&gt;E145)))),"OK","PERIKSA"))</x:f>
      </x:c>
    </x:row>
    <x:row r="146" ht="145" customHeight="1">
      <x:c r="A146" s="34" t="str">
        <x:v>2010997185811529964</x:v>
      </x:c>
      <x:c r="B146" s="34" t="str">
        <x:v>2010970065609359372</x:v>
      </x:c>
      <x:c r="C146" s="34" t="str">
        <x:v>Prabowo mengklaim proyek MBG sebagai salah satu keberhasilannya.
#Tempodotco https://t.co/i3flDy1oeb</x:v>
      </x:c>
      <x:c r="D146" s="34" t="str">
        <x:v>'@tempodotco Hasilnya??:
1. Bergizi?? TIDAK, menu 8rb perak tak cukup.
2. Menyehatkan?? TIDAK, yg ada malah banyak keracunan.
3. Membuat anak pintar?? TIDAK, menu tak jelas dan hanya sekali /hari.
Hasilnya MBG?? Vendor kenyang dan Prabowo senang krn bisa balas budi politik pakai uang negara</x:v>
      </x:c>
      <x:c r="E146" s="40" t="str"/>
      <x:c r="F146" s="40" t="str"/>
      <x:c r="G146" s="40" t="str"/>
      <x:c r="H146" s="40" t="str"/>
      <x:c r="I146" s="40" t="str"/>
      <x:c r="J146" s="34" t="str">
        <x:v>A2</x:v>
      </x:c>
      <x:c r="K146" s="34" t="str">
        <x:v>1.0</x:v>
      </x:c>
      <x:c r="L146" s="35" t="str">
        <x:f>IF(AND(E146="",F146="",G146="",H146="",I146=""),"",IF(OR(AND(H146="UNCLEAR",E146="",F146="",G146="",I146&lt;&gt;""),AND(H146="LABELED",COUNTIFS(Taksonomi!$A$5:$A$13,E146,Taksonomi!$B$5:$B$13,F146)=1,OR(G146="",AND(COUNTIF(Taksonomi!$D$4:$D$6,G146)=1,G146&lt;&gt;E146)))),"OK","PERIKSA"))</x:f>
      </x:c>
    </x:row>
    <x:row r="147" ht="145" customHeight="1">
      <x:c r="A147" s="34" t="str">
        <x:v>1919912687128969297</x:v>
      </x:c>
      <x:c r="B147" s="34" t="str">
        <x:v>1919611876738056459</x:v>
      </x:c>
      <x:c r="C147" s="34" t="str">
        <x:v>Ratusan Siswa Keracunan Makanan, MBG di Sumsel Dihentikan Sementara | #Keracunan #MakanBergiziGratis 
https://t.co/JLcQb9IXvc</x:v>
      </x:c>
      <x:c r="D147" s="34" t="str">
        <x:v>'@kompascom Baru 0.0005%, lanjutkan.</x:v>
      </x:c>
      <x:c r="E147" s="40" t="str"/>
      <x:c r="F147" s="40" t="str"/>
      <x:c r="G147" s="40" t="str"/>
      <x:c r="H147" s="40" t="str"/>
      <x:c r="I147" s="40" t="str"/>
      <x:c r="J147" s="34" t="str">
        <x:v>A2</x:v>
      </x:c>
      <x:c r="K147" s="34" t="str">
        <x:v>1.0</x:v>
      </x:c>
      <x:c r="L147" s="35" t="str">
        <x:f>IF(AND(E147="",F147="",G147="",H147="",I147=""),"",IF(OR(AND(H147="UNCLEAR",E147="",F147="",G147="",I147&lt;&gt;""),AND(H147="LABELED",COUNTIFS(Taksonomi!$A$5:$A$13,E147,Taksonomi!$B$5:$B$13,F147)=1,OR(G147="",AND(COUNTIF(Taksonomi!$D$4:$D$6,G147)=1,G147&lt;&gt;E147)))),"OK","PERIKSA"))</x:f>
      </x:c>
    </x:row>
    <x:row r="148" ht="145" customHeight="1">
      <x:c r="A148" s="34" t="str">
        <x:v>2011224074937385415</x:v>
      </x:c>
      <x:c r="B148" s="34" t="str">
        <x:v>2010970065609359372</x:v>
      </x:c>
      <x:c r="C148" s="34" t="str">
        <x:v>Prabowo mengklaim proyek MBG sebagai salah satu keberhasilannya.
#Tempodotco https://t.co/i3flDy1oeb</x:v>
      </x:c>
      <x:c r="D148" s="34" t="str">
        <x:v>'@tempodotco ide dan saranya berhasil namun proses di lapangan gagal total kacau balu sarat kepentingan sehingga isi meni dan penyajian diluar nurul jauh dari standar sehat bergizi krna aliran airnya mungkin terlalu panjang bocor sana sini</x:v>
      </x:c>
      <x:c r="E148" s="40" t="str"/>
      <x:c r="F148" s="40" t="str"/>
      <x:c r="G148" s="40" t="str"/>
      <x:c r="H148" s="40" t="str"/>
      <x:c r="I148" s="40" t="str"/>
      <x:c r="J148" s="34" t="str">
        <x:v>A2</x:v>
      </x:c>
      <x:c r="K148" s="34" t="str">
        <x:v>1.0</x:v>
      </x:c>
      <x:c r="L148" s="35" t="str">
        <x:f>IF(AND(E148="",F148="",G148="",H148="",I148=""),"",IF(OR(AND(H148="UNCLEAR",E148="",F148="",G148="",I148&lt;&gt;""),AND(H148="LABELED",COUNTIFS(Taksonomi!$A$5:$A$13,E148,Taksonomi!$B$5:$B$13,F148)=1,OR(G148="",AND(COUNTIF(Taksonomi!$D$4:$D$6,G148)=1,G148&lt;&gt;E148)))),"OK","PERIKSA"))</x:f>
      </x:c>
    </x:row>
    <x:row r="149" ht="145" customHeight="1">
      <x:c r="A149" s="34" t="str">
        <x:v>1967097422427156621</x:v>
      </x:c>
      <x:c r="B149" s="34" t="str">
        <x:v>1967091223149375864</x:v>
      </x:c>
      <x:c r="C149" s="34"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149" s="34" t="str">
        <x:v>Sungguh sebuah terobosan luar biasa! Sekarang ga perlu repot-repot lagi konferensi pers atau siaran TV yang membosankan. Kini, bioskop menjadi ruang demokrasi baru. Kita bisa menikmati popcorn sambil mendengarkan program makan siang gratis. Sebuah paket komplit, hiburan dan edukasi, dalam satu tiket. 😂</x:v>
      </x:c>
      <x:c r="E149" s="40" t="str"/>
      <x:c r="F149" s="40" t="str"/>
      <x:c r="G149" s="40" t="str"/>
      <x:c r="H149" s="40" t="str"/>
      <x:c r="I149" s="40" t="str"/>
      <x:c r="J149" s="34" t="str">
        <x:v>A2</x:v>
      </x:c>
      <x:c r="K149" s="34" t="str">
        <x:v>1.0</x:v>
      </x:c>
      <x:c r="L149" s="35" t="str">
        <x:f>IF(AND(E149="",F149="",G149="",H149="",I149=""),"",IF(OR(AND(H149="UNCLEAR",E149="",F149="",G149="",I149&lt;&gt;""),AND(H149="LABELED",COUNTIFS(Taksonomi!$A$5:$A$13,E149,Taksonomi!$B$5:$B$13,F149)=1,OR(G149="",AND(COUNTIF(Taksonomi!$D$4:$D$6,G149)=1,G149&lt;&gt;E149)))),"OK","PERIKSA"))</x:f>
      </x:c>
    </x:row>
    <x:row r="150" ht="145" customHeight="1">
      <x:c r="A150" s="34" t="str">
        <x:v>1920451934353567911</x:v>
      </x:c>
      <x:c r="B150" s="34" t="str">
        <x:v>1920311274795147520</x:v>
      </x:c>
      <x:c r="C150" s="34" t="str">
        <x:v>Yayasan Bill &amp;amp; Melinda Gates (Gates Foundation) menyatakan tidak terlibat dalam Program Makan Bergizi Gratis (MBG) di Indonesia.
~SA #BillGates #MBG #GatesFoundation
https://t.co/iDSrxbTveF</x:v>
      </x:c>
      <x:c r="D150" s="34" t="str">
        <x:v>'@kompascom Yang waras pasti takut terlibat krn melihat pengelolaan yg amburadul dan bnyk korban keracunan.</x:v>
      </x:c>
      <x:c r="E150" s="40" t="str"/>
      <x:c r="F150" s="40" t="str"/>
      <x:c r="G150" s="40" t="str"/>
      <x:c r="H150" s="40" t="str"/>
      <x:c r="I150" s="40" t="str"/>
      <x:c r="J150" s="34" t="str">
        <x:v>A2</x:v>
      </x:c>
      <x:c r="K150" s="34" t="str">
        <x:v>1.0</x:v>
      </x:c>
      <x:c r="L150" s="35" t="str">
        <x:f>IF(AND(E150="",F150="",G150="",H150="",I150=""),"",IF(OR(AND(H150="UNCLEAR",E150="",F150="",G150="",I150&lt;&gt;""),AND(H150="LABELED",COUNTIFS(Taksonomi!$A$5:$A$13,E150,Taksonomi!$B$5:$B$13,F150)=1,OR(G150="",AND(COUNTIF(Taksonomi!$D$4:$D$6,G150)=1,G150&lt;&gt;E150)))),"OK","PERIKSA"))</x:f>
      </x:c>
    </x:row>
    <x:row r="151" ht="145" customHeight="1">
      <x:c r="A151" s="34" t="str">
        <x:v>2018579895140651363</x:v>
      </x:c>
      <x:c r="B151" s="34" t="str">
        <x:v>2018565114425929998</x:v>
      </x:c>
      <x:c r="C151" s="34" t="str">
        <x:v>Prabowo: Pakar Gedung Putih Mempelajari MBG https://t.co/PKb1PximsP</x:v>
      </x:c>
      <x:c r="D151" s="34" t="str">
        <x:v>'@tempodotco Klu kita punya teknologi mutakhir bagaimana Negara bebas korupsi &amp;amp; hutang tanpa banyak omon omon,trus Gedung putih minta belajar sama kita, itu baru bener bener membanggakan..
Gedung putih belajar soal MBG yg masih banyak cerita keracunan ini mah turun kelas namanya..😊😅😇</x:v>
      </x:c>
      <x:c r="E151" s="40" t="str"/>
      <x:c r="F151" s="40" t="str"/>
      <x:c r="G151" s="40" t="str"/>
      <x:c r="H151" s="40" t="str"/>
      <x:c r="I151" s="40" t="str"/>
      <x:c r="J151" s="34" t="str">
        <x:v>A2</x:v>
      </x:c>
      <x:c r="K151" s="34" t="str">
        <x:v>1.0</x:v>
      </x:c>
      <x:c r="L151" s="35" t="str">
        <x:f>IF(AND(E151="",F151="",G151="",H151="",I151=""),"",IF(OR(AND(H151="UNCLEAR",E151="",F151="",G151="",I151&lt;&gt;""),AND(H151="LABELED",COUNTIFS(Taksonomi!$A$5:$A$13,E151,Taksonomi!$B$5:$B$13,F151)=1,OR(G151="",AND(COUNTIF(Taksonomi!$D$4:$D$6,G151)=1,G151&lt;&gt;E151)))),"OK","PERIKSA"))</x:f>
      </x:c>
    </x:row>
    <x:row r="152" ht="145" customHeight="1">
      <x:c r="A152" s="34" t="str">
        <x:v>1967554681389089066</x:v>
      </x:c>
      <x:c r="B152" s="34" t="str">
        <x:v>1967503899688087724</x:v>
      </x:c>
      <x:c r="C152" s="34" t="str">
        <x:v>Ini di Brebes guys. Negara itu salah satu tujuannya melindungi segenap bangsa Indonesia. Ini ortu murid disuruh menanggung resiko dari makanan MBG. Pak @prabowo @setkabgoid @KemensetnegRI please.... https://t.co/oeEWaoPBtn</x:v>
      </x:c>
      <x:c r="D152" s="34" t="str">
        <x:v>'@ubegebe1 @prabowo @setkabgoid @KemensetnegRI yang penting masak
yang penting kirim
aman ga aman kita ga tanggung jawab
wadah ilang bayar ganti rugi ya hehe</x:v>
      </x:c>
      <x:c r="E152" s="40" t="str"/>
      <x:c r="F152" s="40" t="str"/>
      <x:c r="G152" s="40" t="str"/>
      <x:c r="H152" s="40" t="str"/>
      <x:c r="I152" s="40" t="str"/>
      <x:c r="J152" s="34" t="str">
        <x:v>A2</x:v>
      </x:c>
      <x:c r="K152" s="34" t="str">
        <x:v>1.0</x:v>
      </x:c>
      <x:c r="L152" s="35" t="str">
        <x:f>IF(AND(E152="",F152="",G152="",H152="",I152=""),"",IF(OR(AND(H152="UNCLEAR",E152="",F152="",G152="",I152&lt;&gt;""),AND(H152="LABELED",COUNTIFS(Taksonomi!$A$5:$A$13,E152,Taksonomi!$B$5:$B$13,F152)=1,OR(G152="",AND(COUNTIF(Taksonomi!$D$4:$D$6,G152)=1,G152&lt;&gt;E152)))),"OK","PERIKSA"))</x:f>
      </x:c>
    </x:row>
    <x:row r="153" ht="145" customHeight="1">
      <x:c r="A153" s="34" t="str">
        <x:v>2001192909182529933</x:v>
      </x:c>
      <x:c r="B153" s="34" t="str">
        <x:v>2001178042962497884</x:v>
      </x:c>
      <x:c r="C153" s="34" t="str">
        <x:v>Wakil Kepala Badan Gizi Nasional Nanik Sudaryati Deyang meminta para pengemudi mobil layanan makan bergizi gratis (MBG) mengenakan kostum Power Rangers saat mendistribusikan makanan ke sekolah.
Gimana menurut kalian?🤔 https://t.co/rBLWxCKz48</x:v>
      </x:c>
      <x:c r="D153" s="34" t="str">
        <x:v>'@tempodotco dimulai dari kepala dan wakil kepala badan gizi nasional dong.. kasih contoh lah</x:v>
      </x:c>
      <x:c r="E153" s="40" t="str"/>
      <x:c r="F153" s="40" t="str"/>
      <x:c r="G153" s="40" t="str"/>
      <x:c r="H153" s="40" t="str"/>
      <x:c r="I153" s="40" t="str"/>
      <x:c r="J153" s="34" t="str">
        <x:v>A2</x:v>
      </x:c>
      <x:c r="K153" s="34" t="str">
        <x:v>1.0</x:v>
      </x:c>
      <x:c r="L153" s="35" t="str">
        <x:f>IF(AND(E153="",F153="",G153="",H153="",I153=""),"",IF(OR(AND(H153="UNCLEAR",E153="",F153="",G153="",I153&lt;&gt;""),AND(H153="LABELED",COUNTIFS(Taksonomi!$A$5:$A$13,E153,Taksonomi!$B$5:$B$13,F153)=1,OR(G153="",AND(COUNTIF(Taksonomi!$D$4:$D$6,G153)=1,G153&lt;&gt;E153)))),"OK","PERIKSA"))</x:f>
      </x:c>
    </x:row>
    <x:row r="154" ht="145" customHeight="1">
      <x:c r="A154" s="34" t="str">
        <x:v>1862246811135877538</x:v>
      </x:c>
      <x:c r="B154" s="34" t="str">
        <x:v>1862121513366978711</x:v>
      </x:c>
      <x:c r="C154" s="34" t="str">
        <x:v>Prabowo Curhat Program Makan Bergizi Gratis Diejek: Saya Dibilang Sudah Gila
https://t.co/m7vHqzesvt</x:v>
      </x:c>
      <x:c r="D154" s="34" t="str">
        <x:v>'@tempodotco Emang gila pak apalagi kalau anggaran nya boleh ngutang atau naikin pajak rakyat. Trus yg ngurus programnya anak buah bapak yg suka korup. Abis dah dananya dikorup pak. Mending dananya buat subsidi listrik, BBM , pupuk dll
Sperti masa mertua bapak dulu. Itu lebih baik pak.</x:v>
      </x:c>
      <x:c r="E154" s="40" t="str"/>
      <x:c r="F154" s="40" t="str"/>
      <x:c r="G154" s="40" t="str"/>
      <x:c r="H154" s="40" t="str"/>
      <x:c r="I154" s="40" t="str"/>
      <x:c r="J154" s="34" t="str">
        <x:v>A2</x:v>
      </x:c>
      <x:c r="K154" s="34" t="str">
        <x:v>1.0</x:v>
      </x:c>
      <x:c r="L154" s="35" t="str">
        <x:f>IF(AND(E154="",F154="",G154="",H154="",I154=""),"",IF(OR(AND(H154="UNCLEAR",E154="",F154="",G154="",I154&lt;&gt;""),AND(H154="LABELED",COUNTIFS(Taksonomi!$A$5:$A$13,E154,Taksonomi!$B$5:$B$13,F154)=1,OR(G154="",AND(COUNTIF(Taksonomi!$D$4:$D$6,G154)=1,G154&lt;&gt;E154)))),"OK","PERIKSA"))</x:f>
      </x:c>
    </x:row>
    <x:row r="155" ht="145" customHeight="1">
      <x:c r="A155" s="34" t="str">
        <x:v>2021948033592963288</x:v>
      </x:c>
      <x:c r="B155" s="34" t="str">
        <x:v>2021930606360506488</x:v>
      </x:c>
      <x:c r="C155"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155" s="34" t="str">
        <x:v>'@menuembegejelek Ngitung kand gizi nya agak2 gimana gt yah 😂</x:v>
      </x:c>
      <x:c r="E155" s="40" t="str"/>
      <x:c r="F155" s="40" t="str"/>
      <x:c r="G155" s="40" t="str"/>
      <x:c r="H155" s="40" t="str"/>
      <x:c r="I155" s="40" t="str"/>
      <x:c r="J155" s="34" t="str">
        <x:v>A2</x:v>
      </x:c>
      <x:c r="K155" s="34" t="str">
        <x:v>1.0</x:v>
      </x:c>
      <x:c r="L155" s="35" t="str">
        <x:f>IF(AND(E155="",F155="",G155="",H155="",I155=""),"",IF(OR(AND(H155="UNCLEAR",E155="",F155="",G155="",I155&lt;&gt;""),AND(H155="LABELED",COUNTIFS(Taksonomi!$A$5:$A$13,E155,Taksonomi!$B$5:$B$13,F155)=1,OR(G155="",AND(COUNTIF(Taksonomi!$D$4:$D$6,G155)=1,G155&lt;&gt;E155)))),"OK","PERIKSA"))</x:f>
      </x:c>
    </x:row>
    <x:row r="156" ht="145" customHeight="1">
      <x:c r="A156" s="34" t="str">
        <x:v>1919980364795412649</x:v>
      </x:c>
      <x:c r="B156" s="34" t="str">
        <x:v>1919902122071797983</x:v>
      </x:c>
      <x:c r="C156" s="34" t="str">
        <x:v>BPOM Siap Awasi Keamanan Program Makan Bergizi Gratis
#MakanBergiziGratis https://t.co/nySOcJYNwl</x:v>
      </x:c>
      <x:c r="D156" s="34" t="str">
        <x:v>'@GenZNusantara Langkah BPOM semakin meyakinkan, edukasi keamanan pangan bikin masyarakat makin sadar pentingnya kualitas makanan</x:v>
      </x:c>
      <x:c r="E156" s="40" t="str"/>
      <x:c r="F156" s="40" t="str"/>
      <x:c r="G156" s="40" t="str"/>
      <x:c r="H156" s="40" t="str"/>
      <x:c r="I156" s="40" t="str"/>
      <x:c r="J156" s="34" t="str">
        <x:v>A2</x:v>
      </x:c>
      <x:c r="K156" s="34" t="str">
        <x:v>1.0</x:v>
      </x:c>
      <x:c r="L156" s="35" t="str">
        <x:f>IF(AND(E156="",F156="",G156="",H156="",I156=""),"",IF(OR(AND(H156="UNCLEAR",E156="",F156="",G156="",I156&lt;&gt;""),AND(H156="LABELED",COUNTIFS(Taksonomi!$A$5:$A$13,E156,Taksonomi!$B$5:$B$13,F156)=1,OR(G156="",AND(COUNTIF(Taksonomi!$D$4:$D$6,G156)=1,G156&lt;&gt;E156)))),"OK","PERIKSA"))</x:f>
      </x:c>
    </x:row>
    <x:row r="157" ht="145" customHeight="1">
      <x:c r="A157" s="34" t="str">
        <x:v>1919745553619157145</x:v>
      </x:c>
      <x:c r="B157" s="34" t="str">
        <x:v>1919682613088027096</x:v>
      </x:c>
      <x:c r="C157" s="34" t="str">
        <x:v>Presiden RI Prabowo Subianto mengatakan, program Makan Bergizi Gratis atau MBG tidak berjalan lancar karena berkaitan dengan adat dan tradisi makan langsung menggunakan tangan.
~MD #Keracunan #MBG #Prabowo https://t.co/Uc9SSJDnh3</x:v>
      </x:c>
      <x:c r="D157" s="34" t="str">
        <x:v>'@kompascom apaan sih ........... membuat penjelasan yg semakin ga jelas .</x:v>
      </x:c>
      <x:c r="E157" s="40" t="str"/>
      <x:c r="F157" s="40" t="str"/>
      <x:c r="G157" s="40" t="str"/>
      <x:c r="H157" s="40" t="str"/>
      <x:c r="I157" s="40" t="str"/>
      <x:c r="J157" s="34" t="str">
        <x:v>A2</x:v>
      </x:c>
      <x:c r="K157" s="34" t="str">
        <x:v>1.0</x:v>
      </x:c>
      <x:c r="L157" s="35" t="str">
        <x:f>IF(AND(E157="",F157="",G157="",H157="",I157=""),"",IF(OR(AND(H157="UNCLEAR",E157="",F157="",G157="",I157&lt;&gt;""),AND(H157="LABELED",COUNTIFS(Taksonomi!$A$5:$A$13,E157,Taksonomi!$B$5:$B$13,F157)=1,OR(G157="",AND(COUNTIF(Taksonomi!$D$4:$D$6,G157)=1,G157&lt;&gt;E157)))),"OK","PERIKSA"))</x:f>
      </x:c>
    </x:row>
    <x:row r="158" ht="145" customHeight="1">
      <x:c r="A158" s="34" t="str">
        <x:v>1798394028398092434</x:v>
      </x:c>
      <x:c r="B158" s="34" t="str">
        <x:v>1798363964755349864</x:v>
      </x:c>
      <x:c r="C158" s="34" t="str">
        <x:v>Sri Mulyani Yakin Program Makan Bergizi Gratis Prabowo Dongkrak Pertumbuhan Ekonomi, Ini Alasannya https://t.co/ya8K7e912I #TempoBisnis</x:v>
      </x:c>
      <x:c r="D158" s="34" t="str">
        <x:v>'@tempodotco Saya juga yakin... karena akan mendongkrak korupsinya. Seperti kata si Zonk, korupsi itu pelumas dalam pembangunan..</x:v>
      </x:c>
      <x:c r="E158" s="40" t="str"/>
      <x:c r="F158" s="40" t="str"/>
      <x:c r="G158" s="40" t="str"/>
      <x:c r="H158" s="40" t="str"/>
      <x:c r="I158" s="40" t="str"/>
      <x:c r="J158" s="34" t="str">
        <x:v>A2</x:v>
      </x:c>
      <x:c r="K158" s="34" t="str">
        <x:v>1.0</x:v>
      </x:c>
      <x:c r="L158" s="35" t="str">
        <x:f>IF(AND(E158="",F158="",G158="",H158="",I158=""),"",IF(OR(AND(H158="UNCLEAR",E158="",F158="",G158="",I158&lt;&gt;""),AND(H158="LABELED",COUNTIFS(Taksonomi!$A$5:$A$13,E158,Taksonomi!$B$5:$B$13,F158)=1,OR(G158="",AND(COUNTIF(Taksonomi!$D$4:$D$6,G158)=1,G158&lt;&gt;E158)))),"OK","PERIKSA"))</x:f>
      </x:c>
    </x:row>
    <x:row r="159" ht="145" customHeight="1">
      <x:c r="A159" s="34" t="str">
        <x:v>1917954005671751771</x:v>
      </x:c>
      <x:c r="B159" s="34" t="str">
        <x:v>1917784225249636367</x:v>
      </x:c>
      <x:c r="C159" s="34" t="str">
        <x:v>Ratusan Siswa SMP Bandung Keracunan Usai Santap Makan Bergizi Gratis
https://t.co/xRPwU7sGS8</x:v>
      </x:c>
      <x:c r="D159" s="34" t="str">
        <x:v>'@CNNIndonesia Makanan Bergizi, Gizinya kemana? 
Pengelolaan MBG diduga bermasalah, pendanaannya yang fantastis rawan digerogoti korupsi 🐀</x:v>
      </x:c>
      <x:c r="E159" s="40" t="str"/>
      <x:c r="F159" s="40" t="str"/>
      <x:c r="G159" s="40" t="str"/>
      <x:c r="H159" s="40" t="str"/>
      <x:c r="I159" s="40" t="str"/>
      <x:c r="J159" s="34" t="str">
        <x:v>A2</x:v>
      </x:c>
      <x:c r="K159" s="34" t="str">
        <x:v>1.0</x:v>
      </x:c>
      <x:c r="L159" s="35" t="str">
        <x:f>IF(AND(E159="",F159="",G159="",H159="",I159=""),"",IF(OR(AND(H159="UNCLEAR",E159="",F159="",G159="",I159&lt;&gt;""),AND(H159="LABELED",COUNTIFS(Taksonomi!$A$5:$A$13,E159,Taksonomi!$B$5:$B$13,F159)=1,OR(G159="",AND(COUNTIF(Taksonomi!$D$4:$D$6,G159)=1,G159&lt;&gt;E159)))),"OK","PERIKSA"))</x:f>
      </x:c>
    </x:row>
    <x:row r="160" ht="145" customHeight="1">
      <x:c r="A160" s="34" t="str">
        <x:v>1972236588685173168</x:v>
      </x:c>
      <x:c r="B160" s="34" t="str">
        <x:v>1972234934489346217</x:v>
      </x:c>
      <x:c r="C160" s="34" t="str">
        <x:v>Istana Cabut Kartu Liputan Wartawan CNN yang Tanya soal MBG ke Prabowo
https://t.co/Q5bulkP3aa</x:v>
      </x:c>
      <x:c r="D160" s="34" t="str">
        <x:v>'@tempodotco Program MBG telah dikemas menjadi 'Kebijakan Keramat' tdk boleh Dipertanyakan bahkan Kritik ..
Kasus cabut kartu liputan wartawan menjelaskan ada Aroma Busuk &amp;amp; Korupsi dlm Program MBG ..
Program MBG tidak boleh dihentikan walau besok hari ada Siswa yang meninggal sekalipun ..</x:v>
      </x:c>
      <x:c r="E160" s="40" t="str"/>
      <x:c r="F160" s="40" t="str"/>
      <x:c r="G160" s="40" t="str"/>
      <x:c r="H160" s="40" t="str"/>
      <x:c r="I160" s="40" t="str"/>
      <x:c r="J160" s="34" t="str">
        <x:v>A2</x:v>
      </x:c>
      <x:c r="K160" s="34" t="str">
        <x:v>1.0</x:v>
      </x:c>
      <x:c r="L160" s="35" t="str">
        <x:f>IF(AND(E160="",F160="",G160="",H160="",I160=""),"",IF(OR(AND(H160="UNCLEAR",E160="",F160="",G160="",I160&lt;&gt;""),AND(H160="LABELED",COUNTIFS(Taksonomi!$A$5:$A$13,E160,Taksonomi!$B$5:$B$13,F160)=1,OR(G160="",AND(COUNTIF(Taksonomi!$D$4:$D$6,G160)=1,G160&lt;&gt;E160)))),"OK","PERIKSA"))</x:f>
      </x:c>
    </x:row>
    <x:row r="161" ht="145" customHeight="1">
      <x:c r="A161" s="34" t="str">
        <x:v>1863547880675684407</x:v>
      </x:c>
      <x:c r="B161" s="34" t="str">
        <x:v>1863468780275601720</x:v>
      </x:c>
      <x:c r="C161" s="34" t="str">
        <x:v>Anggaran Makan Bergizi Gratis Menciut Jadi Rp 10.000, Ini Versi Warteg Menu Nasi Rp 10.000
📸Tempo/Subekti
#TempoFoto https://t.co/4fQsCMAiVB</x:v>
      </x:c>
      <x:c r="D161" s="34" t="str">
        <x:v>'@tempodotco Ini porsi 10 rb daerah saya. https://t.co/Yh4aTlik6V</x:v>
      </x:c>
      <x:c r="E161" s="40" t="str"/>
      <x:c r="F161" s="40" t="str"/>
      <x:c r="G161" s="40" t="str"/>
      <x:c r="H161" s="40" t="str"/>
      <x:c r="I161" s="40" t="str"/>
      <x:c r="J161" s="34" t="str">
        <x:v>A2</x:v>
      </x:c>
      <x:c r="K161" s="34" t="str">
        <x:v>1.0</x:v>
      </x:c>
      <x:c r="L161" s="35" t="str">
        <x:f>IF(AND(E161="",F161="",G161="",H161="",I161=""),"",IF(OR(AND(H161="UNCLEAR",E161="",F161="",G161="",I161&lt;&gt;""),AND(H161="LABELED",COUNTIFS(Taksonomi!$A$5:$A$13,E161,Taksonomi!$B$5:$B$13,F161)=1,OR(G161="",AND(COUNTIF(Taksonomi!$D$4:$D$6,G161)=1,G161&lt;&gt;E161)))),"OK","PERIKSA"))</x:f>
      </x:c>
    </x:row>
    <x:row r="162" ht="145" customHeight="1">
      <x:c r="A162" s="34" t="str">
        <x:v>1920097713011491287</x:v>
      </x:c>
      <x:c r="B162" s="34" t="str">
        <x:v>1919600034460348506</x:v>
      </x:c>
      <x:c r="C162" s="34" t="str">
        <x:v>Siswa Keracunan MBG, Prabowo Singgung Siswa Makan Tak Pakai Sendok🥄
https://t.co/kYRBSbhGAf</x:v>
      </x:c>
      <x:c r="D162" s="34" t="str">
        <x:v>'@tempodotco Daripada komen yg jd mbuat kita sedih,kecewa, mending segera dlakukan investigasi agar kjadian keracunan makanan MBG yg terus menerus ini bisa di stop. Berani mengakui kalo ada kesalahan,instropeksi kseluruh vendor bahkan mentri maka akan lebih bijak &amp;amp; akan dpt respect @prabowo</x:v>
      </x:c>
      <x:c r="E162" s="40" t="str"/>
      <x:c r="F162" s="40" t="str"/>
      <x:c r="G162" s="40" t="str"/>
      <x:c r="H162" s="40" t="str"/>
      <x:c r="I162" s="40" t="str"/>
      <x:c r="J162" s="34" t="str">
        <x:v>A2</x:v>
      </x:c>
      <x:c r="K162" s="34" t="str">
        <x:v>1.0</x:v>
      </x:c>
      <x:c r="L162" s="35" t="str">
        <x:f>IF(AND(E162="",F162="",G162="",H162="",I162=""),"",IF(OR(AND(H162="UNCLEAR",E162="",F162="",G162="",I162&lt;&gt;""),AND(H162="LABELED",COUNTIFS(Taksonomi!$A$5:$A$13,E162,Taksonomi!$B$5:$B$13,F162)=1,OR(G162="",AND(COUNTIF(Taksonomi!$D$4:$D$6,G162)=1,G162&lt;&gt;E162)))),"OK","PERIKSA"))</x:f>
      </x:c>
    </x:row>
    <x:row r="163" ht="145" customHeight="1">
      <x:c r="A163" s="34" t="str">
        <x:v>2014759278830354759</x:v>
      </x:c>
      <x:c r="B163" s="34" t="str">
        <x:v>2014639245470925048</x:v>
      </x:c>
      <x:c r="C163" s="34" t="str">
        <x:v>Di WEF Davos, Prabowo Klaim MBG Ciptakan 600 Ribu Pekerjaan https://t.co/jym9rXeu06</x:v>
      </x:c>
      <x:c r="D163" s="34" t="str">
        <x:v>'@tempodotco Bentar... MBG dibiayai APBN kan? Berarti 600 ribu "lapangan kerja" yang dimaksud ini digaji dari APBN juga? Masuknya kaya subsidi pemerintah dong? 😅</x:v>
      </x:c>
      <x:c r="E163" s="40" t="str"/>
      <x:c r="F163" s="40" t="str"/>
      <x:c r="G163" s="40" t="str"/>
      <x:c r="H163" s="40" t="str"/>
      <x:c r="I163" s="40" t="str"/>
      <x:c r="J163" s="34" t="str">
        <x:v>A2</x:v>
      </x:c>
      <x:c r="K163" s="34" t="str">
        <x:v>1.0</x:v>
      </x:c>
      <x:c r="L163" s="35" t="str">
        <x:f>IF(AND(E163="",F163="",G163="",H163="",I163=""),"",IF(OR(AND(H163="UNCLEAR",E163="",F163="",G163="",I163&lt;&gt;""),AND(H163="LABELED",COUNTIFS(Taksonomi!$A$5:$A$13,E163,Taksonomi!$B$5:$B$13,F163)=1,OR(G163="",AND(COUNTIF(Taksonomi!$D$4:$D$6,G163)=1,G163&lt;&gt;E163)))),"OK","PERIKSA"))</x:f>
      </x:c>
    </x:row>
    <x:row r="164" ht="145" customHeight="1">
      <x:c r="A164" s="34" t="str">
        <x:v>2008577069006155970</x:v>
      </x:c>
      <x:c r="B164" s="34" t="str">
        <x:v>2008359177421545664</x:v>
      </x:c>
      <x:c r="C164" s="34" t="str">
        <x:v>Siapa saja pejabat penerima manfaat proyek makan bergizi gratis?
#TempoPlus https://t.co/VOQ1nXdEZw</x:v>
      </x:c>
      <x:c r="D164" s="34" t="str">
        <x:v>'@tempodotco Jangan biarkan piring anak² kita menjadi ajang mencari keuntungan. Hati siapa yang tidak teriris jika hak gizi mereka dirampas Mari kita kawal bersama agar setiap rupiah menjadi Kerja Nyata yang benar² mengenyangkan perut generasi masa depan, bukan kantong pejabat. #LanjutkanMBG</x:v>
      </x:c>
      <x:c r="E164" s="40" t="str"/>
      <x:c r="F164" s="40" t="str"/>
      <x:c r="G164" s="40" t="str"/>
      <x:c r="H164" s="40" t="str"/>
      <x:c r="I164" s="40" t="str"/>
      <x:c r="J164" s="34" t="str">
        <x:v>A2</x:v>
      </x:c>
      <x:c r="K164" s="34" t="str">
        <x:v>1.0</x:v>
      </x:c>
      <x:c r="L164" s="35" t="str">
        <x:f>IF(AND(E164="",F164="",G164="",H164="",I164=""),"",IF(OR(AND(H164="UNCLEAR",E164="",F164="",G164="",I164&lt;&gt;""),AND(H164="LABELED",COUNTIFS(Taksonomi!$A$5:$A$13,E164,Taksonomi!$B$5:$B$13,F164)=1,OR(G164="",AND(COUNTIF(Taksonomi!$D$4:$D$6,G164)=1,G164&lt;&gt;E164)))),"OK","PERIKSA"))</x:f>
      </x:c>
    </x:row>
    <x:row r="165" ht="145" customHeight="1">
      <x:c r="A165" s="34" t="str">
        <x:v>2019814902127554618</x:v>
      </x:c>
      <x:c r="B165" s="34" t="str">
        <x:v>2019440648877658550</x:v>
      </x:c>
      <x:c r="C165" s="34" t="str">
        <x:v>Wkwkwwkwkw jabingan menu EMBEGE MODEL OPO IKI COOOOKK. Malah koyok bar jajan seko warung meduroo njirrr. SPPGne over confidence tenann bajilaaakk https://t.co/OA8zlBZtdB</x:v>
      </x:c>
      <x:c r="D165" s="34" t="str">
        <x:v>'@menuembegejelek BERGIZINYA MANAA WOK</x:v>
      </x:c>
      <x:c r="E165" s="40" t="str"/>
      <x:c r="F165" s="40" t="str"/>
      <x:c r="G165" s="40" t="str"/>
      <x:c r="H165" s="40" t="str"/>
      <x:c r="I165" s="40" t="str"/>
      <x:c r="J165" s="34" t="str">
        <x:v>A2</x:v>
      </x:c>
      <x:c r="K165" s="34" t="str">
        <x:v>1.0</x:v>
      </x:c>
      <x:c r="L165" s="35" t="str">
        <x:f>IF(AND(E165="",F165="",G165="",H165="",I165=""),"",IF(OR(AND(H165="UNCLEAR",E165="",F165="",G165="",I165&lt;&gt;""),AND(H165="LABELED",COUNTIFS(Taksonomi!$A$5:$A$13,E165,Taksonomi!$B$5:$B$13,F165)=1,OR(G165="",AND(COUNTIF(Taksonomi!$D$4:$D$6,G165)=1,G165&lt;&gt;E165)))),"OK","PERIKSA"))</x:f>
      </x:c>
    </x:row>
    <x:row r="166" ht="145" customHeight="1">
      <x:c r="A166" s="34" t="str">
        <x:v>1915462527259205883</x:v>
      </x:c>
      <x:c r="B166" s="34" t="str">
        <x:v>1915347494973956416</x:v>
      </x:c>
      <x:c r="C166" s="34" t="str">
        <x:v>Kepala BGN Dadan Hindayana mengungkap, penyebab puluhan siswa keracunan usai makan bergizi gratis di Cianjur sulit dideteksi. / #makanbergizigratis #cianjur 
https://t.co/sBSzvTRkAk</x:v>
      </x:c>
      <x:c r="D166" s="34" t="str">
        <x:v>'@kompascom ya pasti sulit lah!
lu kerjanya cuman ongkang-ongkang doang terima anggaran, nunjuk begundal jadi mitra, tuh mitra juga ongkang-ongkang nunjuk sub mitra lagi
tuh sub mitra yg muntah darah nyari jalan ngelola 15rb/porsi potong 2.500/porsi yg masuk kantong begundal elu
KNTL! 🖕</x:v>
      </x:c>
      <x:c r="E166" s="40" t="str"/>
      <x:c r="F166" s="40" t="str"/>
      <x:c r="G166" s="40" t="str"/>
      <x:c r="H166" s="40" t="str"/>
      <x:c r="I166" s="40" t="str"/>
      <x:c r="J166" s="34" t="str">
        <x:v>A2</x:v>
      </x:c>
      <x:c r="K166" s="34" t="str">
        <x:v>1.0</x:v>
      </x:c>
      <x:c r="L166" s="35" t="str">
        <x:f>IF(AND(E166="",F166="",G166="",H166="",I166=""),"",IF(OR(AND(H166="UNCLEAR",E166="",F166="",G166="",I166&lt;&gt;""),AND(H166="LABELED",COUNTIFS(Taksonomi!$A$5:$A$13,E166,Taksonomi!$B$5:$B$13,F166)=1,OR(G166="",AND(COUNTIF(Taksonomi!$D$4:$D$6,G166)=1,G166&lt;&gt;E166)))),"OK","PERIKSA"))</x:f>
      </x:c>
    </x:row>
    <x:row r="167" ht="145" customHeight="1">
      <x:c r="A167" s="34" t="str">
        <x:v>2023022515967475899</x:v>
      </x:c>
      <x:c r="B167" s="34" t="str">
        <x:v>2022994964255486420</x:v>
      </x:c>
      <x:c r="C167"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167" s="34" t="str">
        <x:v>'@menuembegejelek "Harus" ini dasar nya apa coba 🤦‍♂️</x:v>
      </x:c>
      <x:c r="E167" s="40" t="str"/>
      <x:c r="F167" s="40" t="str"/>
      <x:c r="G167" s="40" t="str"/>
      <x:c r="H167" s="40" t="str"/>
      <x:c r="I167" s="40" t="str"/>
      <x:c r="J167" s="34" t="str">
        <x:v>A2</x:v>
      </x:c>
      <x:c r="K167" s="34" t="str">
        <x:v>1.0</x:v>
      </x:c>
      <x:c r="L167" s="35" t="str">
        <x:f>IF(AND(E167="",F167="",G167="",H167="",I167=""),"",IF(OR(AND(H167="UNCLEAR",E167="",F167="",G167="",I167&lt;&gt;""),AND(H167="LABELED",COUNTIFS(Taksonomi!$A$5:$A$13,E167,Taksonomi!$B$5:$B$13,F167)=1,OR(G167="",AND(COUNTIF(Taksonomi!$D$4:$D$6,G167)=1,G167&lt;&gt;E167)))),"OK","PERIKSA"))</x:f>
      </x:c>
    </x:row>
    <x:row r="168" ht="145" customHeight="1">
      <x:c r="A168" s="34" t="str">
        <x:v>1997515736978510302</x:v>
      </x:c>
      <x:c r="B168" s="34" t="str">
        <x:v>1997155109772648720</x:v>
      </x:c>
      <x:c r="C168" s="34" t="str">
        <x:v>Anggaran MBG diproyeksikan 1,2 Triliun per hari. Pak @prabowo gimana klo stop aja dulu MBG selama 2 bulan, dananya dialihkan untuk pemulihan bencana Sumatera secara total. 
Pikirian sederhanya kan gtu :) https://t.co/pFC8S0WTMp</x:v>
      </x:c>
      <x:c r="D168" s="34" t="str">
        <x:v>'@BosPurwa @prabowo Kenaysng gaji2 karyawan2 MBG brp lebih nesar drpd anggaran yg d makan si anak manguap uangnya kebanyakan biaya opeasional.
Menunya jg lebih bagus menu catering drod menu MBG .</x:v>
      </x:c>
      <x:c r="E168" s="40" t="str"/>
      <x:c r="F168" s="40" t="str"/>
      <x:c r="G168" s="40" t="str"/>
      <x:c r="H168" s="40" t="str"/>
      <x:c r="I168" s="40" t="str"/>
      <x:c r="J168" s="34" t="str">
        <x:v>A2</x:v>
      </x:c>
      <x:c r="K168" s="34" t="str">
        <x:v>1.0</x:v>
      </x:c>
      <x:c r="L168" s="35" t="str">
        <x:f>IF(AND(E168="",F168="",G168="",H168="",I168=""),"",IF(OR(AND(H168="UNCLEAR",E168="",F168="",G168="",I168&lt;&gt;""),AND(H168="LABELED",COUNTIFS(Taksonomi!$A$5:$A$13,E168,Taksonomi!$B$5:$B$13,F168)=1,OR(G168="",AND(COUNTIF(Taksonomi!$D$4:$D$6,G168)=1,G168&lt;&gt;E168)))),"OK","PERIKSA"))</x:f>
      </x:c>
    </x:row>
    <x:row r="169" ht="145" customHeight="1">
      <x:c r="A169" s="34" t="str">
        <x:v>1882719981315784821</x:v>
      </x:c>
      <x:c r="B169" s="34" t="str">
        <x:v>1882674695784554714</x:v>
      </x:c>
      <x:c r="C169" s="34" t="str">
        <x:v>Kepala Badan Gizi Nasional Curhat Kurang Tidur karena Urus Makan Bergizi Gratis
https://t.co/dTooadYE7E</x:v>
      </x:c>
      <x:c r="D169" s="34" t="str">
        <x:v>'@tempodotco Kalau di rasa berat. 
Mending mundur saja pak</x:v>
      </x:c>
      <x:c r="E169" s="40" t="str"/>
      <x:c r="F169" s="40" t="str"/>
      <x:c r="G169" s="40" t="str"/>
      <x:c r="H169" s="40" t="str"/>
      <x:c r="I169" s="40" t="str"/>
      <x:c r="J169" s="34" t="str">
        <x:v>A2</x:v>
      </x:c>
      <x:c r="K169" s="34" t="str">
        <x:v>1.0</x:v>
      </x:c>
      <x:c r="L169" s="35" t="str">
        <x:f>IF(AND(E169="",F169="",G169="",H169="",I169=""),"",IF(OR(AND(H169="UNCLEAR",E169="",F169="",G169="",I169&lt;&gt;""),AND(H169="LABELED",COUNTIFS(Taksonomi!$A$5:$A$13,E169,Taksonomi!$B$5:$B$13,F169)=1,OR(G169="",AND(COUNTIF(Taksonomi!$D$4:$D$6,G169)=1,G169&lt;&gt;E169)))),"OK","PERIKSA"))</x:f>
      </x:c>
    </x:row>
    <x:row r="170" ht="145" customHeight="1">
      <x:c r="A170" s="34" t="str">
        <x:v>1990501955270291617</x:v>
      </x:c>
      <x:c r="B170" s="34" t="str">
        <x:v>1990441460798472686</x:v>
      </x:c>
      <x:c r="C170"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170" s="34" t="str">
        <x:v>'@kompascom MBG ini yg diuntungkan itu si pemilik dapur. Meski yg disajikan makanan jauh dari bergizi seimbang, cenderung basi, dan gak enak rasanya, mereka tetap dibayar.
Harusnya MBG ini distop karena gak efektif dan gak efisien, anggarannya besar namun hasilnya gak sebanding</x:v>
      </x:c>
      <x:c r="E170" s="40" t="str"/>
      <x:c r="F170" s="40" t="str"/>
      <x:c r="G170" s="40" t="str"/>
      <x:c r="H170" s="40" t="str"/>
      <x:c r="I170" s="40" t="str"/>
      <x:c r="J170" s="34" t="str">
        <x:v>A2</x:v>
      </x:c>
      <x:c r="K170" s="34" t="str">
        <x:v>1.0</x:v>
      </x:c>
      <x:c r="L170" s="35" t="str">
        <x:f>IF(AND(E170="",F170="",G170="",H170="",I170=""),"",IF(OR(AND(H170="UNCLEAR",E170="",F170="",G170="",I170&lt;&gt;""),AND(H170="LABELED",COUNTIFS(Taksonomi!$A$5:$A$13,E170,Taksonomi!$B$5:$B$13,F170)=1,OR(G170="",AND(COUNTIF(Taksonomi!$D$4:$D$6,G170)=1,G170&lt;&gt;E170)))),"OK","PERIKSA"))</x:f>
      </x:c>
    </x:row>
    <x:row r="171" ht="145" customHeight="1">
      <x:c r="A171" s="34" t="str">
        <x:v>1963809003097743833</x:v>
      </x:c>
      <x:c r="B171" s="34" t="str">
        <x:v>1963603951690932341</x:v>
      </x:c>
      <x:c r="C171" s="34" t="str">
        <x:v>Alih-alih menurunkan stunting dan meningkatkan gizi anak, program MBG justru mencatat lebih dari 4.000 kasus keracunan makanan hanya dalam 8 bulan pertama pelaksanaan.
Baca di sini: https://t.co/0rRlLx1DLS
~TA #MakanBergiziGratis #Keracunan https://t.co/WQGp6H5wk7</x:v>
      </x:c>
      <x:c r="D171" s="34" t="str">
        <x:v>'@kompascom Netizen yg budiman, coba sekali2 anda awasi sppg yg dkt dr rmh anda...liat, perhatikan bgmn mrk memasak dan menyajikan mbg ? Tanya jg apa ada ahli gizinya ?</x:v>
      </x:c>
      <x:c r="E171" s="40" t="str"/>
      <x:c r="F171" s="40" t="str"/>
      <x:c r="G171" s="40" t="str"/>
      <x:c r="H171" s="40" t="str"/>
      <x:c r="I171" s="40" t="str"/>
      <x:c r="J171" s="34" t="str">
        <x:v>A2</x:v>
      </x:c>
      <x:c r="K171" s="34" t="str">
        <x:v>1.0</x:v>
      </x:c>
      <x:c r="L171" s="35" t="str">
        <x:f>IF(AND(E171="",F171="",G171="",H171="",I171=""),"",IF(OR(AND(H171="UNCLEAR",E171="",F171="",G171="",I171&lt;&gt;""),AND(H171="LABELED",COUNTIFS(Taksonomi!$A$5:$A$13,E171,Taksonomi!$B$5:$B$13,F171)=1,OR(G171="",AND(COUNTIF(Taksonomi!$D$4:$D$6,G171)=1,G171&lt;&gt;E171)))),"OK","PERIKSA"))</x:f>
      </x:c>
    </x:row>
    <x:row r="172" ht="145" customHeight="1">
      <x:c r="A172" s="34" t="str">
        <x:v>1990625052946313300</x:v>
      </x:c>
      <x:c r="B172" s="34" t="str">
        <x:v>1990222341687910706</x:v>
      </x:c>
      <x:c r="C172"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172" s="34" t="str">
        <x:v>'@dosenkesmas Yang jadi pertanyaan SGz di dapur itu tugasnya monev menu saja apa sampai membuat draf menu yg harus dilaksanakan oleh Koki? Kalo SGz sebagai pengawas menu apa guna ilmunya.</x:v>
      </x:c>
      <x:c r="E172" s="40" t="str"/>
      <x:c r="F172" s="40" t="str"/>
      <x:c r="G172" s="40" t="str"/>
      <x:c r="H172" s="40" t="str"/>
      <x:c r="I172" s="40" t="str"/>
      <x:c r="J172" s="34" t="str">
        <x:v>A2</x:v>
      </x:c>
      <x:c r="K172" s="34" t="str">
        <x:v>1.0</x:v>
      </x:c>
      <x:c r="L172" s="35" t="str">
        <x:f>IF(AND(E172="",F172="",G172="",H172="",I172=""),"",IF(OR(AND(H172="UNCLEAR",E172="",F172="",G172="",I172&lt;&gt;""),AND(H172="LABELED",COUNTIFS(Taksonomi!$A$5:$A$13,E172,Taksonomi!$B$5:$B$13,F172)=1,OR(G172="",AND(COUNTIF(Taksonomi!$D$4:$D$6,G172)=1,G172&lt;&gt;E172)))),"OK","PERIKSA"))</x:f>
      </x:c>
    </x:row>
    <x:row r="173" ht="145" customHeight="1">
      <x:c r="A173" s="34" t="str">
        <x:v>1971537525513900345</x:v>
      </x:c>
      <x:c r="B173" s="34" t="str">
        <x:v>1971420349452730404</x:v>
      </x:c>
      <x:c r="C173" s="34" t="str">
        <x:v>Wakil Panglima TNI Jenderal Tandyo Budi Revita menegaskan bahwa program Makan Bergizi Gratis (MBG) yang dijalankan TNI higienis dan bermanfaat langsung bagi masyarakat.
Baca selengkapnya 👇
https://t.co/HhYg4VWiJI
~LL #MBG #TNI https://t.co/1Q2K0dq5Wi</x:v>
      </x:c>
      <x:c r="D173" s="34" t="str">
        <x:v>'@kompascom Overlaping TNI 🤣 mana mukax diserem seremin gitu 🤣
Besok bikin Undang2 baru ngatur tugas mrk ngurusin warteg,warkop,warnet,warkan,Alkon,pertukangan,distribusi sembako,distribusi rokok,agen wokwok tottot,jasa keamanan hajatan dan sejenisnya
Hankam serahin anak2 STM 👍
Yesss..</x:v>
      </x:c>
      <x:c r="E173" s="40" t="str"/>
      <x:c r="F173" s="40" t="str"/>
      <x:c r="G173" s="40" t="str"/>
      <x:c r="H173" s="40" t="str"/>
      <x:c r="I173" s="40" t="str"/>
      <x:c r="J173" s="34" t="str">
        <x:v>A2</x:v>
      </x:c>
      <x:c r="K173" s="34" t="str">
        <x:v>1.0</x:v>
      </x:c>
      <x:c r="L173" s="35" t="str">
        <x:f>IF(AND(E173="",F173="",G173="",H173="",I173=""),"",IF(OR(AND(H173="UNCLEAR",E173="",F173="",G173="",I173&lt;&gt;""),AND(H173="LABELED",COUNTIFS(Taksonomi!$A$5:$A$13,E173,Taksonomi!$B$5:$B$13,F173)=1,OR(G173="",AND(COUNTIF(Taksonomi!$D$4:$D$6,G173)=1,G173&lt;&gt;E173)))),"OK","PERIKSA"))</x:f>
      </x:c>
    </x:row>
    <x:row r="174" ht="145" customHeight="1">
      <x:c r="A174" s="34" t="str">
        <x:v>2022266542503936264</x:v>
      </x:c>
      <x:c r="B174" s="34" t="str">
        <x:v>2022234307708833869</x:v>
      </x:c>
      <x:c r="C174" s="34" t="str">
        <x:v>Prabowo Minta KSP Kumpulkan Klip Video Pengkritik MBG https://t.co/gw86wNs138</x:v>
      </x:c>
      <x:c r="D174" s="34" t="str">
        <x:v>'@tempodotco TOLONG KIRIM MBG KE KOREA PAK PRABROWO</x:v>
      </x:c>
      <x:c r="E174" s="40" t="str"/>
      <x:c r="F174" s="40" t="str"/>
      <x:c r="G174" s="40" t="str"/>
      <x:c r="H174" s="40" t="str"/>
      <x:c r="I174" s="40" t="str"/>
      <x:c r="J174" s="34" t="str">
        <x:v>A2</x:v>
      </x:c>
      <x:c r="K174" s="34" t="str">
        <x:v>1.0</x:v>
      </x:c>
      <x:c r="L174" s="35" t="str">
        <x:f>IF(AND(E174="",F174="",G174="",H174="",I174=""),"",IF(OR(AND(H174="UNCLEAR",E174="",F174="",G174="",I174&lt;&gt;""),AND(H174="LABELED",COUNTIFS(Taksonomi!$A$5:$A$13,E174,Taksonomi!$B$5:$B$13,F174)=1,OR(G174="",AND(COUNTIF(Taksonomi!$D$4:$D$6,G174)=1,G174&lt;&gt;E174)))),"OK","PERIKSA"))</x:f>
      </x:c>
    </x:row>
    <x:row r="175" ht="145" customHeight="1">
      <x:c r="A175" s="34" t="str">
        <x:v>1919951079132868884</x:v>
      </x:c>
      <x:c r="B175" s="34" t="str">
        <x:v>1919618563968586130</x:v>
      </x:c>
      <x:c r="C175" s="34" t="str">
        <x:v>Presiden Prabowo Subianto mengklaim angka keracunan program makan bergizi gratis lebih kecil dibandingkan penerima manfaatnya. 
Angka kasus keracunan makanan bergizi sekitar 200 dari 3 juta penerima manfaat.
#Tempodotco #Prabowo #MBG https://t.co/xu9aGIeiZv</x:v>
      </x:c>
      <x:c r="D175" s="34" t="str">
        <x:v>'@tempodotco Ketika pemerintah luncurkan sebuah program &amp;amp; saat program tsbt bermasalah, unt menetralisir dipakailah dalil perbandingan besarnya korban akibat masalah dgn efek keberhasilannya. Lagi2 indikasi abai terhdap pentingnya rasa kemanusiaan, pengelolaan &amp;amp; anggaran.</x:v>
      </x:c>
      <x:c r="E175" s="40" t="str"/>
      <x:c r="F175" s="40" t="str"/>
      <x:c r="G175" s="40" t="str"/>
      <x:c r="H175" s="40" t="str"/>
      <x:c r="I175" s="40" t="str"/>
      <x:c r="J175" s="34" t="str">
        <x:v>A2</x:v>
      </x:c>
      <x:c r="K175" s="34" t="str">
        <x:v>1.0</x:v>
      </x:c>
      <x:c r="L175" s="35" t="str">
        <x:f>IF(AND(E175="",F175="",G175="",H175="",I175=""),"",IF(OR(AND(H175="UNCLEAR",E175="",F175="",G175="",I175&lt;&gt;""),AND(H175="LABELED",COUNTIFS(Taksonomi!$A$5:$A$13,E175,Taksonomi!$B$5:$B$13,F175)=1,OR(G175="",AND(COUNTIF(Taksonomi!$D$4:$D$6,G175)=1,G175&lt;&gt;E175)))),"OK","PERIKSA"))</x:f>
      </x:c>
    </x:row>
    <x:row r="176" ht="145" customHeight="1">
      <x:c r="A176" s="34" t="str">
        <x:v>1968898449652298029</x:v>
      </x:c>
      <x:c r="B176" s="34" t="str">
        <x:v>1968470792854978655</x:v>
      </x:c>
      <x:c r="C176" s="34"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176" s="34" t="str">
        <x:v>'@kenhans03 kirim videonya ke prabowo</x:v>
      </x:c>
      <x:c r="E176" s="40" t="str"/>
      <x:c r="F176" s="40" t="str"/>
      <x:c r="G176" s="40" t="str"/>
      <x:c r="H176" s="40" t="str"/>
      <x:c r="I176" s="40" t="str"/>
      <x:c r="J176" s="34" t="str">
        <x:v>A2</x:v>
      </x:c>
      <x:c r="K176" s="34" t="str">
        <x:v>1.0</x:v>
      </x:c>
      <x:c r="L176" s="35" t="str">
        <x:f>IF(AND(E176="",F176="",G176="",H176="",I176=""),"",IF(OR(AND(H176="UNCLEAR",E176="",F176="",G176="",I176&lt;&gt;""),AND(H176="LABELED",COUNTIFS(Taksonomi!$A$5:$A$13,E176,Taksonomi!$B$5:$B$13,F176)=1,OR(G176="",AND(COUNTIF(Taksonomi!$D$4:$D$6,G176)=1,G176&lt;&gt;E176)))),"OK","PERIKSA"))</x:f>
      </x:c>
    </x:row>
    <x:row r="177" ht="145" customHeight="1">
      <x:c r="A177" s="34" t="str">
        <x:v>1882350989208179093</x:v>
      </x:c>
      <x:c r="B177" s="34" t="str">
        <x:v>1882224797985472681</x:v>
      </x:c>
      <x:c r="C177" s="34" t="str">
        <x:v>650 Ribu Anak Sudah Terima MBG, Prabowo Yakin Akademik Meningkat
https://t.co/W5HeeLIoWW</x:v>
      </x:c>
      <x:c r="D177" s="34" t="str">
        <x:v>'@TirtoID Yang udah keracunan sama makan makanan basi berapa orang ndut??</x:v>
      </x:c>
      <x:c r="E177" s="40" t="str"/>
      <x:c r="F177" s="40" t="str"/>
      <x:c r="G177" s="40" t="str"/>
      <x:c r="H177" s="40" t="str"/>
      <x:c r="I177" s="40" t="str"/>
      <x:c r="J177" s="34" t="str">
        <x:v>A2</x:v>
      </x:c>
      <x:c r="K177" s="34" t="str">
        <x:v>1.0</x:v>
      </x:c>
      <x:c r="L177" s="35" t="str">
        <x:f>IF(AND(E177="",F177="",G177="",H177="",I177=""),"",IF(OR(AND(H177="UNCLEAR",E177="",F177="",G177="",I177&lt;&gt;""),AND(H177="LABELED",COUNTIFS(Taksonomi!$A$5:$A$13,E177,Taksonomi!$B$5:$B$13,F177)=1,OR(G177="",AND(COUNTIF(Taksonomi!$D$4:$D$6,G177)=1,G177&lt;&gt;E177)))),"OK","PERIKSA"))</x:f>
      </x:c>
    </x:row>
    <x:row r="178" ht="145" customHeight="1">
      <x:c r="A178" s="34" t="str">
        <x:v>1983936388354732334</x:v>
      </x:c>
      <x:c r="B178" s="34" t="str">
        <x:v>1983782683139567977</x:v>
      </x:c>
      <x:c r="C178" s="34"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178" s="34" t="str">
        <x:v>'@kompascom gw bingung sma mbg, badan pengawasnya udah sebanyak itu, vendornya bilang kalo ketat banget QC nya. tpi kok msih bisa keracunan terus sih.</x:v>
      </x:c>
      <x:c r="E178" s="40" t="str"/>
      <x:c r="F178" s="40" t="str"/>
      <x:c r="G178" s="40" t="str"/>
      <x:c r="H178" s="40" t="str"/>
      <x:c r="I178" s="40" t="str"/>
      <x:c r="J178" s="34" t="str">
        <x:v>A2</x:v>
      </x:c>
      <x:c r="K178" s="34" t="str">
        <x:v>1.0</x:v>
      </x:c>
      <x:c r="L178" s="35" t="str">
        <x:f>IF(AND(E178="",F178="",G178="",H178="",I178=""),"",IF(OR(AND(H178="UNCLEAR",E178="",F178="",G178="",I178&lt;&gt;""),AND(H178="LABELED",COUNTIFS(Taksonomi!$A$5:$A$13,E178,Taksonomi!$B$5:$B$13,F178)=1,OR(G178="",AND(COUNTIF(Taksonomi!$D$4:$D$6,G178)=1,G178&lt;&gt;E178)))),"OK","PERIKSA"))</x:f>
      </x:c>
    </x:row>
    <x:row r="179" ht="145" customHeight="1">
      <x:c r="A179" s="34" t="str">
        <x:v>1891375856984936908</x:v>
      </x:c>
      <x:c r="B179" s="34" t="str">
        <x:v>1891334694878519429</x:v>
      </x:c>
      <x:c r="C179"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179" s="34" t="str">
        <x:v>'@jefry_wnd Mereka yg hidup di daerah 3T aja ogah dikasih makan gratis. Nah elu yg masih bisa makan enak malah nilih makan gratis dibanding pebdidikan gratis.</x:v>
      </x:c>
      <x:c r="E179" s="40" t="str"/>
      <x:c r="F179" s="40" t="str"/>
      <x:c r="G179" s="40" t="str"/>
      <x:c r="H179" s="40" t="str"/>
      <x:c r="I179" s="40" t="str"/>
      <x:c r="J179" s="34" t="str">
        <x:v>A2</x:v>
      </x:c>
      <x:c r="K179" s="34" t="str">
        <x:v>1.0</x:v>
      </x:c>
      <x:c r="L179" s="35" t="str">
        <x:f>IF(AND(E179="",F179="",G179="",H179="",I179=""),"",IF(OR(AND(H179="UNCLEAR",E179="",F179="",G179="",I179&lt;&gt;""),AND(H179="LABELED",COUNTIFS(Taksonomi!$A$5:$A$13,E179,Taksonomi!$B$5:$B$13,F179)=1,OR(G179="",AND(COUNTIF(Taksonomi!$D$4:$D$6,G179)=1,G179&lt;&gt;E179)))),"OK","PERIKSA"))</x:f>
      </x:c>
    </x:row>
    <x:row r="180" ht="145" customHeight="1">
      <x:c r="A180" s="34" t="str">
        <x:v>1879837997920932129</x:v>
      </x:c>
      <x:c r="B180" s="34" t="str">
        <x:v>1879818088931266667</x:v>
      </x:c>
      <x:c r="C180" s="34" t="str">
        <x:v>Puluhan siswa Sekolah Dasar (SD) Negeri Dukuh 03, Kabupaten Sukoharjo, Jawa Tengah, mengalami keracunan setelah mengonsumsi menu Makan Bergizi Gratis (MBG) pada Kamis (16/1/2025).
&amp;lt; #MakanBergiziGratis #Sukoharjo 
https://t.co/9FeSjxyNNE</x:v>
      </x:c>
      <x:c r="D180" s="34" t="str">
        <x:v>'@kompascom Hahaha... udah pernah ada yg pernah bahas... skenario nya... mulai Makan gratis.. lalu ada banyak yg keracunan ..lalu program segera di hentikan... basii ah... sudah lah wo... kalo ga mampu hentikan aja... duit nya pake prasarana lain yg lbh berguna..</x:v>
      </x:c>
      <x:c r="E180" s="40" t="str"/>
      <x:c r="F180" s="40" t="str"/>
      <x:c r="G180" s="40" t="str"/>
      <x:c r="H180" s="40" t="str"/>
      <x:c r="I180" s="40" t="str"/>
      <x:c r="J180" s="34" t="str">
        <x:v>A2</x:v>
      </x:c>
      <x:c r="K180" s="34" t="str">
        <x:v>1.0</x:v>
      </x:c>
      <x:c r="L180" s="35" t="str">
        <x:f>IF(AND(E180="",F180="",G180="",H180="",I180=""),"",IF(OR(AND(H180="UNCLEAR",E180="",F180="",G180="",I180&lt;&gt;""),AND(H180="LABELED",COUNTIFS(Taksonomi!$A$5:$A$13,E180,Taksonomi!$B$5:$B$13,F180)=1,OR(G180="",AND(COUNTIF(Taksonomi!$D$4:$D$6,G180)=1,G180&lt;&gt;E180)))),"OK","PERIKSA"))</x:f>
      </x:c>
    </x:row>
    <x:row r="181" ht="145" customHeight="1">
      <x:c r="A181" s="34" t="str">
        <x:v>1923067485634408756</x:v>
      </x:c>
      <x:c r="B181" s="34" t="str">
        <x:v>1922948999478378549</x:v>
      </x:c>
      <x:c r="C181"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181" s="34" t="str">
        <x:v>'@Piyusaja2 @prabowo Anak2 itu tanggung jawab orang tua nya, yg sekolahin yang ngasih makan.. orang tua nya yang menjadi tanggung jawab negara, gimana caranya bisa dapet rumah yg layak, pekerjaan yg layak. Kalau mau MBG tuh di Papua di pelosok..kasihan sodara Papua kelaparan Dan tidak diperhatikan</x:v>
      </x:c>
      <x:c r="E181" s="40" t="str"/>
      <x:c r="F181" s="40" t="str"/>
      <x:c r="G181" s="40" t="str"/>
      <x:c r="H181" s="40" t="str"/>
      <x:c r="I181" s="40" t="str"/>
      <x:c r="J181" s="34" t="str">
        <x:v>A2</x:v>
      </x:c>
      <x:c r="K181" s="34" t="str">
        <x:v>1.0</x:v>
      </x:c>
      <x:c r="L181" s="35" t="str">
        <x:f>IF(AND(E181="",F181="",G181="",H181="",I181=""),"",IF(OR(AND(H181="UNCLEAR",E181="",F181="",G181="",I181&lt;&gt;""),AND(H181="LABELED",COUNTIFS(Taksonomi!$A$5:$A$13,E181,Taksonomi!$B$5:$B$13,F181)=1,OR(G181="",AND(COUNTIF(Taksonomi!$D$4:$D$6,G181)=1,G181&lt;&gt;E181)))),"OK","PERIKSA"))</x:f>
      </x:c>
    </x:row>
    <x:row r="182" ht="145" customHeight="1">
      <x:c r="A182" s="34" t="str">
        <x:v>1919741024643252246</x:v>
      </x:c>
      <x:c r="B182" s="34" t="str">
        <x:v>1919611876738056459</x:v>
      </x:c>
      <x:c r="C182" s="34" t="str">
        <x:v>Ratusan Siswa Keracunan Makanan, MBG di Sumsel Dihentikan Sementara | #Keracunan #MakanBergiziGratis 
https://t.co/JLcQb9IXvc</x:v>
      </x:c>
      <x:c r="D182" s="34" t="str">
        <x:v>'@kompascom Tetap saja, Prabowo cuma tau nya 200orang keracunan</x:v>
      </x:c>
      <x:c r="E182" s="40" t="str"/>
      <x:c r="F182" s="40" t="str"/>
      <x:c r="G182" s="40" t="str"/>
      <x:c r="H182" s="40" t="str"/>
      <x:c r="I182" s="40" t="str"/>
      <x:c r="J182" s="34" t="str">
        <x:v>A2</x:v>
      </x:c>
      <x:c r="K182" s="34" t="str">
        <x:v>1.0</x:v>
      </x:c>
      <x:c r="L182" s="35" t="str">
        <x:f>IF(AND(E182="",F182="",G182="",H182="",I182=""),"",IF(OR(AND(H182="UNCLEAR",E182="",F182="",G182="",I182&lt;&gt;""),AND(H182="LABELED",COUNTIFS(Taksonomi!$A$5:$A$13,E182,Taksonomi!$B$5:$B$13,F182)=1,OR(G182="",AND(COUNTIF(Taksonomi!$D$4:$D$6,G182)=1,G182&lt;&gt;E182)))),"OK","PERIKSA"))</x:f>
      </x:c>
    </x:row>
    <x:row r="183" ht="145" customHeight="1">
      <x:c r="A183" s="34" t="str">
        <x:v>1956186979307282650</x:v>
      </x:c>
      <x:c r="B183" s="34" t="str">
        <x:v>1956174316137226524</x:v>
      </x:c>
      <x:c r="C183" s="34" t="str">
        <x:v>Deputi Bidang Diseminasi dan Media Informasi Kantor Komunikasi Presiden Noudhy Valdryno mengklaim Program Makan Bergizi Gratis (MBG) Presiden Prabowo Subianto telah berdampak positif bagi 20 juta anak Indonesia.
👉 Baca selengkapnya https://t.co/COWHkZ1HaP
~LL #MBG #Prabowo https://t.co/NR4nk5ayJw</x:v>
      </x:c>
      <x:c r="D183" s="34" t="str">
        <x:v>'@kompascom Bebas aja</x:v>
      </x:c>
      <x:c r="E183" s="40" t="str"/>
      <x:c r="F183" s="40" t="str"/>
      <x:c r="G183" s="40" t="str"/>
      <x:c r="H183" s="40" t="str"/>
      <x:c r="I183" s="40" t="str"/>
      <x:c r="J183" s="34" t="str">
        <x:v>A2</x:v>
      </x:c>
      <x:c r="K183" s="34" t="str">
        <x:v>1.0</x:v>
      </x:c>
      <x:c r="L183" s="35" t="str">
        <x:f>IF(AND(E183="",F183="",G183="",H183="",I183=""),"",IF(OR(AND(H183="UNCLEAR",E183="",F183="",G183="",I183&lt;&gt;""),AND(H183="LABELED",COUNTIFS(Taksonomi!$A$5:$A$13,E183,Taksonomi!$B$5:$B$13,F183)=1,OR(G183="",AND(COUNTIF(Taksonomi!$D$4:$D$6,G183)=1,G183&lt;&gt;E183)))),"OK","PERIKSA"))</x:f>
      </x:c>
    </x:row>
    <x:row r="184" ht="145" customHeight="1">
      <x:c r="A184" s="34" t="str">
        <x:v>1970820509102428579</x:v>
      </x:c>
      <x:c r="B184" s="34" t="str">
        <x:v>1970775217908633972</x:v>
      </x:c>
      <x:c r="C184" s="34" t="str">
        <x:v>Perawatan Korban Keracunan Makan Bergizi Gratis di Cipongkor https://t.co/lryP6sf2hv</x:v>
      </x:c>
      <x:c r="D184" s="34" t="str">
        <x:v>'@tempodotco @prabowo hrs dikasih tunjuk video mengenaskan ini. Bgmn perasaan ortu yg anaknya jadi korban kebijakannya. 
Smtra BGN sesumbar ada 1 Milyar porsi, dan 5000 jiwa nyaris mati dianggap sekedar deretan angka dan dikecilkan dgn sebutan gangguan pencernaan. Bisa ada gerakan #tolakMBG</x:v>
      </x:c>
      <x:c r="E184" s="40" t="str"/>
      <x:c r="F184" s="40" t="str"/>
      <x:c r="G184" s="40" t="str"/>
      <x:c r="H184" s="40" t="str"/>
      <x:c r="I184" s="40" t="str"/>
      <x:c r="J184" s="34" t="str">
        <x:v>A2</x:v>
      </x:c>
      <x:c r="K184" s="34" t="str">
        <x:v>1.0</x:v>
      </x:c>
      <x:c r="L184" s="35" t="str">
        <x:f>IF(AND(E184="",F184="",G184="",H184="",I184=""),"",IF(OR(AND(H184="UNCLEAR",E184="",F184="",G184="",I184&lt;&gt;""),AND(H184="LABELED",COUNTIFS(Taksonomi!$A$5:$A$13,E184,Taksonomi!$B$5:$B$13,F184)=1,OR(G184="",AND(COUNTIF(Taksonomi!$D$4:$D$6,G184)=1,G184&lt;&gt;E184)))),"OK","PERIKSA"))</x:f>
      </x:c>
    </x:row>
    <x:row r="185" ht="145" customHeight="1">
      <x:c r="A185" s="34" t="str">
        <x:v>1967078339195392479</x:v>
      </x:c>
      <x:c r="B185" s="34" t="str">
        <x:v>1967039789447929886</x:v>
      </x:c>
      <x:c r="C185" s="34" t="str">
        <x:v>Bangun All, alokasi anggaran dikelola serampangan lagi. @prabowo memilih mengalokasikan anggaran pendidikan untuk program Makan Bergizi Gratis (MBG) ketimbang menjalankan putusan Mahkamah Konstitusi (MK) tentang sekolah tanpa pungutan biaya.
Sebanyak 44,2 persen anggaran pendidikan dialihkan untuk MBG, bukannya melaksanakan putusan sekolah gratis malah langganan nabrak konstitusi lagi.</x:v>
      </x:c>
      <x:c r="D185" s="34" t="str">
        <x:v>'@barengwarga @prabowo apasih udah ma kagak guna MBG bikin banyak yang keracunan. EH MALAH MOTONG ANGGARAN PENDIDIKAN???</x:v>
      </x:c>
      <x:c r="E185" s="40" t="str"/>
      <x:c r="F185" s="40" t="str"/>
      <x:c r="G185" s="40" t="str"/>
      <x:c r="H185" s="40" t="str"/>
      <x:c r="I185" s="40" t="str"/>
      <x:c r="J185" s="34" t="str">
        <x:v>A2</x:v>
      </x:c>
      <x:c r="K185" s="34" t="str">
        <x:v>1.0</x:v>
      </x:c>
      <x:c r="L185" s="35" t="str">
        <x:f>IF(AND(E185="",F185="",G185="",H185="",I185=""),"",IF(OR(AND(H185="UNCLEAR",E185="",F185="",G185="",I185&lt;&gt;""),AND(H185="LABELED",COUNTIFS(Taksonomi!$A$5:$A$13,E185,Taksonomi!$B$5:$B$13,F185)=1,OR(G185="",AND(COUNTIF(Taksonomi!$D$4:$D$6,G185)=1,G185&lt;&gt;E185)))),"OK","PERIKSA"))</x:f>
      </x:c>
    </x:row>
    <x:row r="186" ht="145" customHeight="1">
      <x:c r="A186" s="34" t="str">
        <x:v>1877355476616097987</x:v>
      </x:c>
      <x:c r="B186" s="34" t="str">
        <x:v>1877168688119312501</x:v>
      </x:c>
      <x:c r="C186" s="34" t="str">
        <x:v>Dibalik jahatnya gerombolan sakit hati yg doyan menghina menu makanan Bergizi Gratis dari Presiden Prabowo
Ada pelajar yg rela gak makan jatah makanannya demi bisa makan bareng ibunya dirumah, krn ibunya gak punya uang utk beli makan.
Teruskan Program MBG ini Pak @prabowo https://t.co/0HzScrUEZG</x:v>
      </x:c>
      <x:c r="D186" s="34" t="str">
        <x:v>'@ajengcute16__ @prabowo Kasihkan duitnya ke ibunya biar ibunya yang masak untuk anak-anaknya.. tidak usah ditenderkan yg bisa jadi akan banyak perkeliruan. Lagian dana majan siang ini hasil pinjaman yang sdh tentu harus dibayar. https://t.co/Gzh8X43QMn</x:v>
      </x:c>
      <x:c r="E186" s="40" t="str"/>
      <x:c r="F186" s="40" t="str"/>
      <x:c r="G186" s="40" t="str"/>
      <x:c r="H186" s="40" t="str"/>
      <x:c r="I186" s="40" t="str"/>
      <x:c r="J186" s="34" t="str">
        <x:v>A2</x:v>
      </x:c>
      <x:c r="K186" s="34" t="str">
        <x:v>1.0</x:v>
      </x:c>
      <x:c r="L186" s="35" t="str">
        <x:f>IF(AND(E186="",F186="",G186="",H186="",I186=""),"",IF(OR(AND(H186="UNCLEAR",E186="",F186="",G186="",I186&lt;&gt;""),AND(H186="LABELED",COUNTIFS(Taksonomi!$A$5:$A$13,E186,Taksonomi!$B$5:$B$13,F186)=1,OR(G186="",AND(COUNTIF(Taksonomi!$D$4:$D$6,G186)=1,G186&lt;&gt;E186)))),"OK","PERIKSA"))</x:f>
      </x:c>
    </x:row>
    <x:row r="187" ht="145" customHeight="1">
      <x:c r="A187" s="34" t="str">
        <x:v>1805236512147284342</x:v>
      </x:c>
      <x:c r="B187" s="34" t="str">
        <x:v>1805116723743580405</x:v>
      </x:c>
      <x:c r="C187" s="34" t="str">
        <x:v>Menteri Keuangan Sri Mulyani Indrawati mengumumkan pemerintah saat ini dan presiden terpilih menyepakati anggaran makan bergizi gratis sebesar Rp 71 triliun pada 2025.
#TempoHeadliner https://t.co/9FefbrHgIo</x:v>
      </x:c>
      <x:c r="D187" s="34" t="str">
        <x:v>'@tempodotco jangan bilang semua duitnya masuk ke katering circle keluarga sendiri dong kan ya? terus distribusi logistik juga pake perusahaan keluarga kan ya?  saling bantu membantu sesama keluarga kan ya? maaf kepercayaanku setipis itu pak @prabowo @jokowi</x:v>
      </x:c>
      <x:c r="E187" s="40" t="str"/>
      <x:c r="F187" s="40" t="str"/>
      <x:c r="G187" s="40" t="str"/>
      <x:c r="H187" s="40" t="str"/>
      <x:c r="I187" s="40" t="str"/>
      <x:c r="J187" s="34" t="str">
        <x:v>A2</x:v>
      </x:c>
      <x:c r="K187" s="34" t="str">
        <x:v>1.0</x:v>
      </x:c>
      <x:c r="L187" s="35" t="str">
        <x:f>IF(AND(E187="",F187="",G187="",H187="",I187=""),"",IF(OR(AND(H187="UNCLEAR",E187="",F187="",G187="",I187&lt;&gt;""),AND(H187="LABELED",COUNTIFS(Taksonomi!$A$5:$A$13,E187,Taksonomi!$B$5:$B$13,F187)=1,OR(G187="",AND(COUNTIF(Taksonomi!$D$4:$D$6,G187)=1,G187&lt;&gt;E187)))),"OK","PERIKSA"))</x:f>
      </x:c>
    </x:row>
    <x:row r="188" ht="145" customHeight="1">
      <x:c r="A188" s="34" t="str">
        <x:v>2026735995253850442</x:v>
      </x:c>
      <x:c r="B188" s="34" t="str">
        <x:v>2026537644721844659</x:v>
      </x:c>
      <x:c r="C188" s="34" t="str">
        <x:v>BGN: Jatah MBG Rp 8-10 Ribu Per Porsi, Bukan Rp 15 Ribu https://t.co/1HgDLgarZM</x:v>
      </x:c>
      <x:c r="D188" s="34" t="str">
        <x:v>'@tempodotco Komisi BGN naik jadi 5rb?</x:v>
      </x:c>
      <x:c r="E188" s="40" t="str"/>
      <x:c r="F188" s="40" t="str"/>
      <x:c r="G188" s="40" t="str"/>
      <x:c r="H188" s="40" t="str"/>
      <x:c r="I188" s="40" t="str"/>
      <x:c r="J188" s="34" t="str">
        <x:v>A2</x:v>
      </x:c>
      <x:c r="K188" s="34" t="str">
        <x:v>1.0</x:v>
      </x:c>
      <x:c r="L188" s="35" t="str">
        <x:f>IF(AND(E188="",F188="",G188="",H188="",I188=""),"",IF(OR(AND(H188="UNCLEAR",E188="",F188="",G188="",I188&lt;&gt;""),AND(H188="LABELED",COUNTIFS(Taksonomi!$A$5:$A$13,E188,Taksonomi!$B$5:$B$13,F188)=1,OR(G188="",AND(COUNTIF(Taksonomi!$D$4:$D$6,G188)=1,G188&lt;&gt;E188)))),"OK","PERIKSA"))</x:f>
      </x:c>
    </x:row>
    <x:row r="189" ht="145" customHeight="1">
      <x:c r="A189" s="34" t="str">
        <x:v>1943649871036109220</x:v>
      </x:c>
      <x:c r="B189" s="34" t="str">
        <x:v>1943613737996337300</x:v>
      </x:c>
      <x:c r="C189" s="34" t="str">
        <x:v>Badan Gizi Minta Tambahan Rp 118 Triliun untuk Makan Bergizi Gratis 2026
https://t.co/qsyk153ols</x:v>
      </x:c>
      <x:c r="D189" s="34" t="str">
        <x:v>'@tempodotco 🤣gassssssssssss terus ach..</x:v>
      </x:c>
      <x:c r="E189" s="40" t="str"/>
      <x:c r="F189" s="40" t="str"/>
      <x:c r="G189" s="40" t="str"/>
      <x:c r="H189" s="40" t="str"/>
      <x:c r="I189" s="40" t="str"/>
      <x:c r="J189" s="34" t="str">
        <x:v>A2</x:v>
      </x:c>
      <x:c r="K189" s="34" t="str">
        <x:v>1.0</x:v>
      </x:c>
      <x:c r="L189" s="35" t="str">
        <x:f>IF(AND(E189="",F189="",G189="",H189="",I189=""),"",IF(OR(AND(H189="UNCLEAR",E189="",F189="",G189="",I189&lt;&gt;""),AND(H189="LABELED",COUNTIFS(Taksonomi!$A$5:$A$13,E189,Taksonomi!$B$5:$B$13,F189)=1,OR(G189="",AND(COUNTIF(Taksonomi!$D$4:$D$6,G189)=1,G189&lt;&gt;E189)))),"OK","PERIKSA"))</x:f>
      </x:c>
    </x:row>
    <x:row r="190" ht="145" customHeight="1">
      <x:c r="A190" s="34" t="str">
        <x:v>1919255470079922646</x:v>
      </x:c>
      <x:c r="B190" s="34" t="str">
        <x:v>1918903415058346404</x:v>
      </x:c>
      <x:c r="C190" s="34" t="str">
        <x:v>Marak Keracunan MBG, Prabowo Kumpulkan SPPG di Hambalang: Harus Kau Periksa Tiap Potong Ayam Itu
https://t.co/cMlhbV1rRY</x:v>
      </x:c>
      <x:c r="D190" s="34" t="str">
        <x:v>'@KompasTV Perasaan jarang bgt mbg pake menu ayam.
Udh sih stop aja tuh program ladang korup. Konsen ke fasilitas pendidikan di indonesia dan lapangan pelerjaan, jgn pelihara tuh ormas2 ato preman</x:v>
      </x:c>
      <x:c r="E190" s="40" t="str"/>
      <x:c r="F190" s="40" t="str"/>
      <x:c r="G190" s="40" t="str"/>
      <x:c r="H190" s="40" t="str"/>
      <x:c r="I190" s="40" t="str"/>
      <x:c r="J190" s="34" t="str">
        <x:v>A2</x:v>
      </x:c>
      <x:c r="K190" s="34" t="str">
        <x:v>1.0</x:v>
      </x:c>
      <x:c r="L190" s="35" t="str">
        <x:f>IF(AND(E190="",F190="",G190="",H190="",I190=""),"",IF(OR(AND(H190="UNCLEAR",E190="",F190="",G190="",I190&lt;&gt;""),AND(H190="LABELED",COUNTIFS(Taksonomi!$A$5:$A$13,E190,Taksonomi!$B$5:$B$13,F190)=1,OR(G190="",AND(COUNTIF(Taksonomi!$D$4:$D$6,G190)=1,G190&lt;&gt;E190)))),"OK","PERIKSA"))</x:f>
      </x:c>
    </x:row>
    <x:row r="191" ht="145" customHeight="1">
      <x:c r="A191" s="34" t="str">
        <x:v>2010778504884077001</x:v>
      </x:c>
      <x:c r="B191" s="34" t="str">
        <x:v>2010715973024944405</x:v>
      </x:c>
      <x:c r="C191" s="34"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191" s="34" t="str">
        <x:v>'@tempodotco Hanya keracunan mah gak akan menghentikan proyek ini. Kalau mati baru</x:v>
      </x:c>
      <x:c r="E191" s="40" t="str"/>
      <x:c r="F191" s="40" t="str"/>
      <x:c r="G191" s="40" t="str"/>
      <x:c r="H191" s="40" t="str"/>
      <x:c r="I191" s="40" t="str"/>
      <x:c r="J191" s="34" t="str">
        <x:v>A2</x:v>
      </x:c>
      <x:c r="K191" s="34" t="str">
        <x:v>1.0</x:v>
      </x:c>
      <x:c r="L191" s="35" t="str">
        <x:f>IF(AND(E191="",F191="",G191="",H191="",I191=""),"",IF(OR(AND(H191="UNCLEAR",E191="",F191="",G191="",I191&lt;&gt;""),AND(H191="LABELED",COUNTIFS(Taksonomi!$A$5:$A$13,E191,Taksonomi!$B$5:$B$13,F191)=1,OR(G191="",AND(COUNTIF(Taksonomi!$D$4:$D$6,G191)=1,G191&lt;&gt;E191)))),"OK","PERIKSA"))</x:f>
      </x:c>
    </x:row>
    <x:row r="192" ht="145" customHeight="1">
      <x:c r="A192" s="34" t="str">
        <x:v>1920349981883437128</x:v>
      </x:c>
      <x:c r="B192" s="34" t="str">
        <x:v>1920311274795147520</x:v>
      </x:c>
      <x:c r="C192" s="34" t="str">
        <x:v>Yayasan Bill &amp;amp; Melinda Gates (Gates Foundation) menyatakan tidak terlibat dalam Program Makan Bergizi Gratis (MBG) di Indonesia.
~SA #BillGates #MBG #GatesFoundation
https://t.co/iDSrxbTveF</x:v>
      </x:c>
      <x:c r="D192" s="34" t="str">
        <x:v>'@kompascom program prabowo gagal deh😅😂🤣kaga dapat sponsor dari microsoft😅😂🤣bill gates kaget sih kok ada menu serangga di MBG😅😂🤣bubar deh program MBG di juni 2025 kehabisan dana APBN😅😂🤣</x:v>
      </x:c>
      <x:c r="E192" s="40" t="str"/>
      <x:c r="F192" s="40" t="str"/>
      <x:c r="G192" s="40" t="str"/>
      <x:c r="H192" s="40" t="str"/>
      <x:c r="I192" s="40" t="str"/>
      <x:c r="J192" s="34" t="str">
        <x:v>A2</x:v>
      </x:c>
      <x:c r="K192" s="34" t="str">
        <x:v>1.0</x:v>
      </x:c>
      <x:c r="L192" s="35" t="str">
        <x:f>IF(AND(E192="",F192="",G192="",H192="",I192=""),"",IF(OR(AND(H192="UNCLEAR",E192="",F192="",G192="",I192&lt;&gt;""),AND(H192="LABELED",COUNTIFS(Taksonomi!$A$5:$A$13,E192,Taksonomi!$B$5:$B$13,F192)=1,OR(G192="",AND(COUNTIF(Taksonomi!$D$4:$D$6,G192)=1,G192&lt;&gt;E192)))),"OK","PERIKSA"))</x:f>
      </x:c>
    </x:row>
    <x:row r="193" ht="145" customHeight="1">
      <x:c r="A193" s="34" t="str">
        <x:v>1880246398861603212</x:v>
      </x:c>
      <x:c r="B193" s="34" t="str">
        <x:v>1880201604303094136</x:v>
      </x:c>
      <x:c r="C193" s="34" t="str">
        <x:v>Ini juga siapa dia bilang Makan Bergizi Gratis ga penting itu ga relate terus bandingkan dengan Jelly Drink penahan lapar..
Eh TOLOL loe bisa bedain Makan BERGIZI sama penahan lapar ga?! https://t.co/wjELsIzsPs</x:v>
      </x:c>
      <x:c r="D193" s="34" t="str">
        <x:v>'@PaltiWest2024 Dio berpikir makan hanya menjawab lapar
Bukan Makan untuk memenuhi kebutuhan Gizi anak buat tumbuh kembang anak</x:v>
      </x:c>
      <x:c r="E193" s="40" t="str"/>
      <x:c r="F193" s="40" t="str"/>
      <x:c r="G193" s="40" t="str"/>
      <x:c r="H193" s="40" t="str"/>
      <x:c r="I193" s="40" t="str"/>
      <x:c r="J193" s="34" t="str">
        <x:v>A2</x:v>
      </x:c>
      <x:c r="K193" s="34" t="str">
        <x:v>1.0</x:v>
      </x:c>
      <x:c r="L193" s="35" t="str">
        <x:f>IF(AND(E193="",F193="",G193="",H193="",I193=""),"",IF(OR(AND(H193="UNCLEAR",E193="",F193="",G193="",I193&lt;&gt;""),AND(H193="LABELED",COUNTIFS(Taksonomi!$A$5:$A$13,E193,Taksonomi!$B$5:$B$13,F193)=1,OR(G193="",AND(COUNTIF(Taksonomi!$D$4:$D$6,G193)=1,G193&lt;&gt;E193)))),"OK","PERIKSA"))</x:f>
      </x:c>
    </x:row>
    <x:row r="194" ht="145" customHeight="1">
      <x:c r="A194" s="34" t="str">
        <x:v>1912657011126509589</x:v>
      </x:c>
      <x:c r="B194" s="34" t="str">
        <x:v>1912438000711266498</x:v>
      </x:c>
      <x:c r="C194" s="34" t="str">
        <x:v>Mitra dapur yang berada di Kalibata, Jakarta Selatan melaporkan Yayasan Media Berkat Nusantara ke kepolisian. Laporan itu terkait adanya dugaan penggelapan dana program Makan Bergizi Gratis sebesar Rp957.300.000.
#MBG #JakartaSelatan #MakanBergiziGratis #Kalibata #Asumsico https://t.co/6iCIJCpvrv</x:v>
      </x:c>
      <x:c r="D194" s="34" t="str">
        <x:v>'@asumsico Padahal MBG sadfood gitu dana nya gede juga ya</x:v>
      </x:c>
      <x:c r="E194" s="40" t="str"/>
      <x:c r="F194" s="40" t="str"/>
      <x:c r="G194" s="40" t="str"/>
      <x:c r="H194" s="40" t="str"/>
      <x:c r="I194" s="40" t="str"/>
      <x:c r="J194" s="34" t="str">
        <x:v>A2</x:v>
      </x:c>
      <x:c r="K194" s="34" t="str">
        <x:v>1.0</x:v>
      </x:c>
      <x:c r="L194" s="35" t="str">
        <x:f>IF(AND(E194="",F194="",G194="",H194="",I194=""),"",IF(OR(AND(H194="UNCLEAR",E194="",F194="",G194="",I194&lt;&gt;""),AND(H194="LABELED",COUNTIFS(Taksonomi!$A$5:$A$13,E194,Taksonomi!$B$5:$B$13,F194)=1,OR(G194="",AND(COUNTIF(Taksonomi!$D$4:$D$6,G194)=1,G194&lt;&gt;E194)))),"OK","PERIKSA"))</x:f>
      </x:c>
    </x:row>
    <x:row r="195" ht="145" customHeight="1">
      <x:c r="A195" s="34" t="str">
        <x:v>1913912480080036180</x:v>
      </x:c>
      <x:c r="B195" s="34" t="str">
        <x:v>1913807168048120196</x:v>
      </x:c>
      <x:c r="C195" s="34" t="str">
        <x:v>Bocoran nama-nama di proyek MBG detailnya udah ada nih.</x:v>
      </x:c>
      <x:c r="D195" s="34" t="str">
        <x:v>'@BocorAlusPol MBG kan dari awal adalah Menjadi Bisnis G......</x:v>
      </x:c>
      <x:c r="E195" s="40" t="str"/>
      <x:c r="F195" s="40" t="str"/>
      <x:c r="G195" s="40" t="str"/>
      <x:c r="H195" s="40" t="str"/>
      <x:c r="I195" s="40" t="str"/>
      <x:c r="J195" s="34" t="str">
        <x:v>A2</x:v>
      </x:c>
      <x:c r="K195" s="34" t="str">
        <x:v>1.0</x:v>
      </x:c>
      <x:c r="L195" s="35" t="str">
        <x:f>IF(AND(E195="",F195="",G195="",H195="",I195=""),"",IF(OR(AND(H195="UNCLEAR",E195="",F195="",G195="",I195&lt;&gt;""),AND(H195="LABELED",COUNTIFS(Taksonomi!$A$5:$A$13,E195,Taksonomi!$B$5:$B$13,F195)=1,OR(G195="",AND(COUNTIF(Taksonomi!$D$4:$D$6,G195)=1,G195&lt;&gt;E195)))),"OK","PERIKSA"))</x:f>
      </x:c>
    </x:row>
    <x:row r="196" ht="145" customHeight="1">
      <x:c r="A196" s="34" t="str">
        <x:v>1880267602997715353</x:v>
      </x:c>
      <x:c r="B196" s="34" t="str">
        <x:v>1879783141952651292</x:v>
      </x:c>
      <x:c r="C196" s="34" t="str">
        <x:v>Guru Besar Ilmu Gizi Sebut Daun Kelor Tak Bisa Gantikan Susu dalam Menu Makan Bergizi Gratis
https://t.co/uR3QX2MPHl</x:v>
      </x:c>
      <x:c r="D196" s="34" t="str">
        <x:v>'@tempodotco Menurutku Pemda bisa bantu turunkan Dokter Gizi daerah 
Bantu personil masak makan gizi gratis
Bila perlu ditunda dulu, biar serentak....
Agar anggaran bisa ditekan, Pemda bisa bantu berdayakan pemdes ....
Gak enak dengar berita, sudah jalan sementara ditempat lain belum...</x:v>
      </x:c>
      <x:c r="E196" s="40" t="str"/>
      <x:c r="F196" s="40" t="str"/>
      <x:c r="G196" s="40" t="str"/>
      <x:c r="H196" s="40" t="str"/>
      <x:c r="I196" s="40" t="str"/>
      <x:c r="J196" s="34" t="str">
        <x:v>A2</x:v>
      </x:c>
      <x:c r="K196" s="34" t="str">
        <x:v>1.0</x:v>
      </x:c>
      <x:c r="L196" s="35" t="str">
        <x:f>IF(AND(E196="",F196="",G196="",H196="",I196=""),"",IF(OR(AND(H196="UNCLEAR",E196="",F196="",G196="",I196&lt;&gt;""),AND(H196="LABELED",COUNTIFS(Taksonomi!$A$5:$A$13,E196,Taksonomi!$B$5:$B$13,F196)=1,OR(G196="",AND(COUNTIF(Taksonomi!$D$4:$D$6,G196)=1,G196&lt;&gt;E196)))),"OK","PERIKSA"))</x:f>
      </x:c>
    </x:row>
    <x:row r="197" ht="145" customHeight="1">
      <x:c r="A197" s="34" t="str">
        <x:v>1919833767151116510</x:v>
      </x:c>
      <x:c r="B197" s="34" t="str">
        <x:v>1919611876738056459</x:v>
      </x:c>
      <x:c r="C197" s="34" t="str">
        <x:v>Ratusan Siswa Keracunan Makanan, MBG di Sumsel Dihentikan Sementara | #Keracunan #MakanBergiziGratis 
https://t.co/JLcQb9IXvc</x:v>
      </x:c>
      <x:c r="D197" s="34" t="str">
        <x:v>'@kompascom @prabowo niat untuk mencegah stunting dan memperingan orang yang ga mampu jadi harua mengeluarkan biaya untuk berobat yang besar 😮‍💨</x:v>
      </x:c>
      <x:c r="E197" s="40" t="str"/>
      <x:c r="F197" s="40" t="str"/>
      <x:c r="G197" s="40" t="str"/>
      <x:c r="H197" s="40" t="str"/>
      <x:c r="I197" s="40" t="str"/>
      <x:c r="J197" s="34" t="str">
        <x:v>A2</x:v>
      </x:c>
      <x:c r="K197" s="34" t="str">
        <x:v>1.0</x:v>
      </x:c>
      <x:c r="L197" s="35" t="str">
        <x:f>IF(AND(E197="",F197="",G197="",H197="",I197=""),"",IF(OR(AND(H197="UNCLEAR",E197="",F197="",G197="",I197&lt;&gt;""),AND(H197="LABELED",COUNTIFS(Taksonomi!$A$5:$A$13,E197,Taksonomi!$B$5:$B$13,F197)=1,OR(G197="",AND(COUNTIF(Taksonomi!$D$4:$D$6,G197)=1,G197&lt;&gt;E197)))),"OK","PERIKSA"))</x:f>
      </x:c>
    </x:row>
    <x:row r="198" ht="145" customHeight="1">
      <x:c r="A198" s="34" t="str">
        <x:v>1893395563149766657</x:v>
      </x:c>
      <x:c r="B198" s="34" t="str">
        <x:v>1893301011525075427</x:v>
      </x:c>
      <x:c r="C198" s="34" t="str">
        <x:v>Yang Dapat
Makan Bergizi Gratis
Cuma Dua Anak........
😢😢😢😢😢😢 https://t.co/lQkRgZb5jC</x:v>
      </x:c>
      <x:c r="D198" s="34" t="str">
        <x:v>'@cobeh2022 Dan kepala negara beserta jajaran dan kepala daerah sibuk retreat yg habiskan dana 😮‍💨😡</x:v>
      </x:c>
      <x:c r="E198" s="40" t="str"/>
      <x:c r="F198" s="40" t="str"/>
      <x:c r="G198" s="40" t="str"/>
      <x:c r="H198" s="40" t="str"/>
      <x:c r="I198" s="40" t="str"/>
      <x:c r="J198" s="34" t="str">
        <x:v>A2</x:v>
      </x:c>
      <x:c r="K198" s="34" t="str">
        <x:v>1.0</x:v>
      </x:c>
      <x:c r="L198" s="35" t="str">
        <x:f>IF(AND(E198="",F198="",G198="",H198="",I198=""),"",IF(OR(AND(H198="UNCLEAR",E198="",F198="",G198="",I198&lt;&gt;""),AND(H198="LABELED",COUNTIFS(Taksonomi!$A$5:$A$13,E198,Taksonomi!$B$5:$B$13,F198)=1,OR(G198="",AND(COUNTIF(Taksonomi!$D$4:$D$6,G198)=1,G198&lt;&gt;E198)))),"OK","PERIKSA"))</x:f>
      </x:c>
    </x:row>
    <x:row r="199" ht="145" customHeight="1">
      <x:c r="A199" s="34" t="str">
        <x:v>2022271542248583462</x:v>
      </x:c>
      <x:c r="B199" s="34" t="str">
        <x:v>2022234307708833869</x:v>
      </x:c>
      <x:c r="C199" s="34" t="str">
        <x:v>Prabowo Minta KSP Kumpulkan Klip Video Pengkritik MBG https://t.co/gw86wNs138</x:v>
      </x:c>
      <x:c r="D199" s="34" t="str">
        <x:v>'@tempodotco Kumpulin nama dapur MBG yg bikin keracunan. Blog</x:v>
      </x:c>
      <x:c r="E199" s="40" t="str"/>
      <x:c r="F199" s="40" t="str"/>
      <x:c r="G199" s="40" t="str"/>
      <x:c r="H199" s="40" t="str"/>
      <x:c r="I199" s="40" t="str"/>
      <x:c r="J199" s="34" t="str">
        <x:v>A2</x:v>
      </x:c>
      <x:c r="K199" s="34" t="str">
        <x:v>1.0</x:v>
      </x:c>
      <x:c r="L199" s="35" t="str">
        <x:f>IF(AND(E199="",F199="",G199="",H199="",I199=""),"",IF(OR(AND(H199="UNCLEAR",E199="",F199="",G199="",I199&lt;&gt;""),AND(H199="LABELED",COUNTIFS(Taksonomi!$A$5:$A$13,E199,Taksonomi!$B$5:$B$13,F199)=1,OR(G199="",AND(COUNTIF(Taksonomi!$D$4:$D$6,G199)=1,G199&lt;&gt;E199)))),"OK","PERIKSA"))</x:f>
      </x:c>
    </x:row>
    <x:row r="200" ht="145" customHeight="1">
      <x:c r="A200" s="34" t="str">
        <x:v>1876318328458981617</x:v>
      </x:c>
      <x:c r="B200" s="34" t="str">
        <x:v>1876276342163185879</x:v>
      </x:c>
      <x:c r="C200" s="34" t="str">
        <x:v>Istana: Makan Bergizi Gratis di Sejumlah Daerah Masih Pakai Uang Prabowo | #PrabowoSubianto #MakanBergiziGratis https://t.co/Y4aiOEWsAj</x:v>
      </x:c>
      <x:c r="D200" s="34" t="str">
        <x:v>'@kompascom Lah status dana ini apaan hai @KemenkeuRI: hibah atau pinjaman? Atau ini program @prabowo pribadi bukan program pemerintah?
#UUKeuanganNegara gak kepake lagi?</x:v>
      </x:c>
      <x:c r="E200" s="40" t="str"/>
      <x:c r="F200" s="40" t="str"/>
      <x:c r="G200" s="40" t="str"/>
      <x:c r="H200" s="40" t="str"/>
      <x:c r="I200" s="40" t="str"/>
      <x:c r="J200" s="34" t="str">
        <x:v>A2</x:v>
      </x:c>
      <x:c r="K200" s="34" t="str">
        <x:v>1.0</x:v>
      </x:c>
      <x:c r="L200" s="35" t="str">
        <x:f>IF(AND(E200="",F200="",G200="",H200="",I200=""),"",IF(OR(AND(H200="UNCLEAR",E200="",F200="",G200="",I200&lt;&gt;""),AND(H200="LABELED",COUNTIFS(Taksonomi!$A$5:$A$13,E200,Taksonomi!$B$5:$B$13,F200)=1,OR(G200="",AND(COUNTIF(Taksonomi!$D$4:$D$6,G200)=1,G200&lt;&gt;E200)))),"OK","PERIKSA"))</x:f>
      </x:c>
    </x:row>
    <x:row r="201" ht="145" customHeight="1">
      <x:c r="A201" s="34" t="str">
        <x:v>1862465942971875501</x:v>
      </x:c>
      <x:c r="B201" s="34" t="str">
        <x:v>1862464509044302181</x:v>
      </x:c>
      <x:c r="C201" s="34" t="str">
        <x:v>Prabowo: Anggaran Makan Bergizi Gratis Rp 10.000 per Anak dan Ibu Hamil
https://t.co/Gizhx70o3g</x:v>
      </x:c>
      <x:c r="D201" s="34" t="str">
        <x:v>'@tempodotco cuma dapet utangan dikit kah dari china ?</x:v>
      </x:c>
      <x:c r="E201" s="40" t="str"/>
      <x:c r="F201" s="40" t="str"/>
      <x:c r="G201" s="40" t="str"/>
      <x:c r="H201" s="40" t="str"/>
      <x:c r="I201" s="40" t="str"/>
      <x:c r="J201" s="34" t="str">
        <x:v>A2</x:v>
      </x:c>
      <x:c r="K201" s="34" t="str">
        <x:v>1.0</x:v>
      </x:c>
      <x:c r="L201" s="35" t="str">
        <x:f>IF(AND(E201="",F201="",G201="",H201="",I201=""),"",IF(OR(AND(H201="UNCLEAR",E201="",F201="",G201="",I201&lt;&gt;""),AND(H201="LABELED",COUNTIFS(Taksonomi!$A$5:$A$13,E201,Taksonomi!$B$5:$B$13,F201)=1,OR(G201="",AND(COUNTIF(Taksonomi!$D$4:$D$6,G201)=1,G201&lt;&gt;E201)))),"OK","PERIKSA"))</x:f>
      </x:c>
    </x:row>
    <x:row r="202" ht="145" customHeight="1">
      <x:c r="A202" s="34" t="str">
        <x:v>1862760412456104010</x:v>
      </x:c>
      <x:c r="B202" s="34" t="str">
        <x:v>1862466185633452055</x:v>
      </x:c>
      <x:c r="C202" s="34" t="str">
        <x:v>Prabowo sebut anggaran makan bergizi gratis Rp 10.000 per anak dan ibu hamil, kira-kira apa menunya?
#TempoNanya</x:v>
      </x:c>
      <x:c r="D202" s="34" t="str">
        <x:v>'@tempodotco Dr 15rb....menjadi 10rb. https://t.co/XGMR5dxSr4</x:v>
      </x:c>
      <x:c r="E202" s="40" t="str"/>
      <x:c r="F202" s="40" t="str"/>
      <x:c r="G202" s="40" t="str"/>
      <x:c r="H202" s="40" t="str"/>
      <x:c r="I202" s="40" t="str"/>
      <x:c r="J202" s="34" t="str">
        <x:v>A2</x:v>
      </x:c>
      <x:c r="K202" s="34" t="str">
        <x:v>1.0</x:v>
      </x:c>
      <x:c r="L202" s="35" t="str">
        <x:f>IF(AND(E202="",F202="",G202="",H202="",I202=""),"",IF(OR(AND(H202="UNCLEAR",E202="",F202="",G202="",I202&lt;&gt;""),AND(H202="LABELED",COUNTIFS(Taksonomi!$A$5:$A$13,E202,Taksonomi!$B$5:$B$13,F202)=1,OR(G202="",AND(COUNTIF(Taksonomi!$D$4:$D$6,G202)=1,G202&lt;&gt;E202)))),"OK","PERIKSA"))</x:f>
      </x:c>
    </x:row>
    <x:row r="203" ht="145" customHeight="1">
      <x:c r="A203" s="34" t="str">
        <x:v>1891124233125732372</x:v>
      </x:c>
      <x:c r="B203" s="34" t="str">
        <x:v>1891067025088266358</x:v>
      </x:c>
      <x:c r="C203" s="34" t="str">
        <x:v>Program Makan Bergizi Gratis (MBG) di Kabupaten Sumenep, Jawa Timur dihentikan.
Link berita: https://t.co/77ybYs6KJw
/ #MakanBergiziGratis #MBG #Siswa #Sekolah #Sumenep https://t.co/ke9vX0q0OP</x:v>
      </x:c>
      <x:c r="D203" s="34" t="str">
        <x:v>'@kompascom Motor2 yang dipake distribusi MBG dibegal kabupaten sebelah</x:v>
      </x:c>
      <x:c r="E203" s="40" t="str"/>
      <x:c r="F203" s="40" t="str"/>
      <x:c r="G203" s="40" t="str"/>
      <x:c r="H203" s="40" t="str"/>
      <x:c r="I203" s="40" t="str"/>
      <x:c r="J203" s="34" t="str">
        <x:v>A2</x:v>
      </x:c>
      <x:c r="K203" s="34" t="str">
        <x:v>1.0</x:v>
      </x:c>
      <x:c r="L203" s="35" t="str">
        <x:f>IF(AND(E203="",F203="",G203="",H203="",I203=""),"",IF(OR(AND(H203="UNCLEAR",E203="",F203="",G203="",I203&lt;&gt;""),AND(H203="LABELED",COUNTIFS(Taksonomi!$A$5:$A$13,E203,Taksonomi!$B$5:$B$13,F203)=1,OR(G203="",AND(COUNTIF(Taksonomi!$D$4:$D$6,G203)=1,G203&lt;&gt;E203)))),"OK","PERIKSA"))</x:f>
      </x:c>
    </x:row>
    <x:row r="204" ht="145" customHeight="1">
      <x:c r="A204" s="34" t="str">
        <x:v>2021882189802303853</x:v>
      </x:c>
      <x:c r="B204" s="34" t="str">
        <x:v>2021852147328176412</x:v>
      </x:c>
      <x:c r="C204" s="34"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04" s="34" t="str">
        <x:v>'@menuembegejelek Yaap seperti biasa ada aja kelakuan para pejabat SPPG ini hadeeehh</x:v>
      </x:c>
      <x:c r="E204" s="40" t="str"/>
      <x:c r="F204" s="40" t="str"/>
      <x:c r="G204" s="40" t="str"/>
      <x:c r="H204" s="40" t="str"/>
      <x:c r="I204" s="40" t="str"/>
      <x:c r="J204" s="34" t="str">
        <x:v>A2</x:v>
      </x:c>
      <x:c r="K204" s="34" t="str">
        <x:v>1.0</x:v>
      </x:c>
      <x:c r="L204" s="35" t="str">
        <x:f>IF(AND(E204="",F204="",G204="",H204="",I204=""),"",IF(OR(AND(H204="UNCLEAR",E204="",F204="",G204="",I204&lt;&gt;""),AND(H204="LABELED",COUNTIFS(Taksonomi!$A$5:$A$13,E204,Taksonomi!$B$5:$B$13,F204)=1,OR(G204="",AND(COUNTIF(Taksonomi!$D$4:$D$6,G204)=1,G204&lt;&gt;E204)))),"OK","PERIKSA"))</x:f>
      </x:c>
    </x:row>
    <x:row r="205" ht="145" customHeight="1">
      <x:c r="A205" s="34" t="str">
        <x:v>2023699948697776427</x:v>
      </x:c>
      <x:c r="B205" s="34" t="str">
        <x:v>2022994964255486420</x:v>
      </x:c>
      <x:c r="C205"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05" s="34" t="str">
        <x:v>'@menuembegejelek Hasil MBG dilaporkan ABS ama si botak dan ditanggapi gembira ama omon².....
Seorang yg katanya pemimpin anggap anak² keracunan cuma angka demi cuan (korupsi yg dilegalkan) yg dibagi² ke timses, tentara dan polisi...tanpa audit karena jadi taik.
cc admin akun @prabowo</x:v>
      </x:c>
      <x:c r="E205" s="40" t="str"/>
      <x:c r="F205" s="40" t="str"/>
      <x:c r="G205" s="40" t="str"/>
      <x:c r="H205" s="40" t="str"/>
      <x:c r="I205" s="40" t="str"/>
      <x:c r="J205" s="34" t="str">
        <x:v>A2</x:v>
      </x:c>
      <x:c r="K205" s="34" t="str">
        <x:v>1.0</x:v>
      </x:c>
      <x:c r="L205" s="35" t="str">
        <x:f>IF(AND(E205="",F205="",G205="",H205="",I205=""),"",IF(OR(AND(H205="UNCLEAR",E205="",F205="",G205="",I205&lt;&gt;""),AND(H205="LABELED",COUNTIFS(Taksonomi!$A$5:$A$13,E205,Taksonomi!$B$5:$B$13,F205)=1,OR(G205="",AND(COUNTIF(Taksonomi!$D$4:$D$6,G205)=1,G205&lt;&gt;E205)))),"OK","PERIKSA"))</x:f>
      </x:c>
    </x:row>
    <x:row r="206" ht="145" customHeight="1">
      <x:c r="A206" s="34" t="str">
        <x:v>2014761366029271361</x:v>
      </x:c>
      <x:c r="B206" s="34" t="str">
        <x:v>2014639245470925048</x:v>
      </x:c>
      <x:c r="C206" s="34" t="str">
        <x:v>Di WEF Davos, Prabowo Klaim MBG Ciptakan 600 Ribu Pekerjaan https://t.co/jym9rXeu06</x:v>
      </x:c>
      <x:c r="D206" s="34" t="str">
        <x:v>'@tempodotco Dasar goblok, mayoritas jg ga lu gaji dengan layak, seleksi ga jelas, eksekusi berantakan, makanan ga karuan. Sppg di monopoli temen temen bajingannya, kesejahteraan guru di abaikan. Terus lu bangga?
TOLOL NAMANYA</x:v>
      </x:c>
      <x:c r="E206" s="40" t="str"/>
      <x:c r="F206" s="40" t="str"/>
      <x:c r="G206" s="40" t="str"/>
      <x:c r="H206" s="40" t="str"/>
      <x:c r="I206" s="40" t="str"/>
      <x:c r="J206" s="34" t="str">
        <x:v>A2</x:v>
      </x:c>
      <x:c r="K206" s="34" t="str">
        <x:v>1.0</x:v>
      </x:c>
      <x:c r="L206" s="35" t="str">
        <x:f>IF(AND(E206="",F206="",G206="",H206="",I206=""),"",IF(OR(AND(H206="UNCLEAR",E206="",F206="",G206="",I206&lt;&gt;""),AND(H206="LABELED",COUNTIFS(Taksonomi!$A$5:$A$13,E206,Taksonomi!$B$5:$B$13,F206)=1,OR(G206="",AND(COUNTIF(Taksonomi!$D$4:$D$6,G206)=1,G206&lt;&gt;E206)))),"OK","PERIKSA"))</x:f>
      </x:c>
    </x:row>
    <x:row r="207" ht="145" customHeight="1">
      <x:c r="A207" s="34" t="str">
        <x:v>1889604501939564967</x:v>
      </x:c>
      <x:c r="B207" s="34" t="str">
        <x:v>1889564364476154223</x:v>
      </x:c>
      <x:c r="C207" s="34" t="str">
        <x:v>Mul and Ndut, blood is on your hands</x:v>
      </x:c>
      <x:c r="D207" s="34" t="str">
        <x:v>'@ffikriawan Mul aja keliatan ngaconya baru season 2
Ni ndut langsung bablas jelek sejak awal</x:v>
      </x:c>
      <x:c r="E207" s="40" t="str"/>
      <x:c r="F207" s="40" t="str"/>
      <x:c r="G207" s="40" t="str"/>
      <x:c r="H207" s="40" t="str"/>
      <x:c r="I207" s="40" t="str"/>
      <x:c r="J207" s="34" t="str">
        <x:v>A2</x:v>
      </x:c>
      <x:c r="K207" s="34" t="str">
        <x:v>1.0</x:v>
      </x:c>
      <x:c r="L207" s="35" t="str">
        <x:f>IF(AND(E207="",F207="",G207="",H207="",I207=""),"",IF(OR(AND(H207="UNCLEAR",E207="",F207="",G207="",I207&lt;&gt;""),AND(H207="LABELED",COUNTIFS(Taksonomi!$A$5:$A$13,E207,Taksonomi!$B$5:$B$13,F207)=1,OR(G207="",AND(COUNTIF(Taksonomi!$D$4:$D$6,G207)=1,G207&lt;&gt;E207)))),"OK","PERIKSA"))</x:f>
      </x:c>
    </x:row>
    <x:row r="208" ht="145" customHeight="1">
      <x:c r="A208" s="34" t="str">
        <x:v>2022254932515246393</x:v>
      </x:c>
      <x:c r="B208" s="34" t="str">
        <x:v>2022234307708833869</x:v>
      </x:c>
      <x:c r="C208" s="34" t="str">
        <x:v>Prabowo Minta KSP Kumpulkan Klip Video Pengkritik MBG https://t.co/gw86wNs138</x:v>
      </x:c>
      <x:c r="D208" s="34" t="str">
        <x:v>'@tempodotco kenapa mau di kirimin orderan fiktif ya?</x:v>
      </x:c>
      <x:c r="E208" s="40" t="str"/>
      <x:c r="F208" s="40" t="str"/>
      <x:c r="G208" s="40" t="str"/>
      <x:c r="H208" s="40" t="str"/>
      <x:c r="I208" s="40" t="str"/>
      <x:c r="J208" s="34" t="str">
        <x:v>A2</x:v>
      </x:c>
      <x:c r="K208" s="34" t="str">
        <x:v>1.0</x:v>
      </x:c>
      <x:c r="L208" s="35" t="str">
        <x:f>IF(AND(E208="",F208="",G208="",H208="",I208=""),"",IF(OR(AND(H208="UNCLEAR",E208="",F208="",G208="",I208&lt;&gt;""),AND(H208="LABELED",COUNTIFS(Taksonomi!$A$5:$A$13,E208,Taksonomi!$B$5:$B$13,F208)=1,OR(G208="",AND(COUNTIF(Taksonomi!$D$4:$D$6,G208)=1,G208&lt;&gt;E208)))),"OK","PERIKSA"))</x:f>
      </x:c>
    </x:row>
    <x:row r="209" ht="145" customHeight="1">
      <x:c r="A209" s="34" t="str">
        <x:v>1876173443756118048</x:v>
      </x:c>
      <x:c r="B209" s="34" t="str">
        <x:v>1876127805462696292</x:v>
      </x:c>
      <x:c r="C209" s="34" t="str">
        <x:v>Budi Arie Tinjau Dapur Makan Bergizi Gratis: Ada Ayam Teriyaki, Baunya Enak
https://t.co/N1MkDDljn9</x:v>
      </x:c>
      <x:c r="D209" s="34" t="str">
        <x:v>'@tempodotco proyek berbau cuan baunya ig enak...</x:v>
      </x:c>
      <x:c r="E209" s="40" t="str"/>
      <x:c r="F209" s="40" t="str"/>
      <x:c r="G209" s="40" t="str"/>
      <x:c r="H209" s="40" t="str"/>
      <x:c r="I209" s="40" t="str"/>
      <x:c r="J209" s="34" t="str">
        <x:v>A2</x:v>
      </x:c>
      <x:c r="K209" s="34" t="str">
        <x:v>1.0</x:v>
      </x:c>
      <x:c r="L209" s="35" t="str">
        <x:f>IF(AND(E209="",F209="",G209="",H209="",I209=""),"",IF(OR(AND(H209="UNCLEAR",E209="",F209="",G209="",I209&lt;&gt;""),AND(H209="LABELED",COUNTIFS(Taksonomi!$A$5:$A$13,E209,Taksonomi!$B$5:$B$13,F209)=1,OR(G209="",AND(COUNTIF(Taksonomi!$D$4:$D$6,G209)=1,G209&lt;&gt;E209)))),"OK","PERIKSA"))</x:f>
      </x:c>
    </x:row>
    <x:row r="210" ht="145" customHeight="1">
      <x:c r="A210" s="34" t="str">
        <x:v>2019893754665267262</x:v>
      </x:c>
      <x:c r="B210" s="34" t="str">
        <x:v>2019440648877658550</x:v>
      </x:c>
      <x:c r="C210" s="34" t="str">
        <x:v>Wkwkwwkwkw jabingan menu EMBEGE MODEL OPO IKI COOOOKK. Malah koyok bar jajan seko warung meduroo njirrr. SPPGne over confidence tenann bajilaaakk https://t.co/OA8zlBZtdB</x:v>
      </x:c>
      <x:c r="D210" s="34" t="str">
        <x:v>'@menuembegejelek makanan ringan kemasan itu gak sehat jing</x:v>
      </x:c>
      <x:c r="E210" s="40" t="str"/>
      <x:c r="F210" s="40" t="str"/>
      <x:c r="G210" s="40" t="str"/>
      <x:c r="H210" s="40" t="str"/>
      <x:c r="I210" s="40" t="str"/>
      <x:c r="J210" s="34" t="str">
        <x:v>A2</x:v>
      </x:c>
      <x:c r="K210" s="34" t="str">
        <x:v>1.0</x:v>
      </x:c>
      <x:c r="L210" s="35" t="str">
        <x:f>IF(AND(E210="",F210="",G210="",H210="",I210=""),"",IF(OR(AND(H210="UNCLEAR",E210="",F210="",G210="",I210&lt;&gt;""),AND(H210="LABELED",COUNTIFS(Taksonomi!$A$5:$A$13,E210,Taksonomi!$B$5:$B$13,F210)=1,OR(G210="",AND(COUNTIF(Taksonomi!$D$4:$D$6,G210)=1,G210&lt;&gt;E210)))),"OK","PERIKSA"))</x:f>
      </x:c>
    </x:row>
    <x:row r="211" ht="145" customHeight="1">
      <x:c r="A211" s="34" t="str">
        <x:v>1990941854666535239</x:v>
      </x:c>
      <x:c r="B211" s="34" t="str">
        <x:v>1990441460798472686</x:v>
      </x:c>
      <x:c r="C211" s="34" t="str">
        <x:v>Wakil Kepala Badan Gizi Nasional Nanik Sudaryati Deyang menuturkan, masyarakat diminta untuk menanami sayuran dan buah di lahan-lahan kosong, serta memelihara ayam petelur dan pedaging.
👉🏻Baca selengkapnya https://t.co/g4R6r0sYvf
~AM #MBG #Bertani #BadanGiziNasional https://t.co/KcJtkjVYLq</x:v>
      </x:c>
      <x:c r="D211" s="34" t="str">
        <x:v>'@kompascom Liat mukanya seperti bener2 banget minta tolong tp kalo liat keuntungan orang yg punya dapur MBG malah kita yg kasihan sama diri kita sendiri bisa2 nya dapat keuntungan sebesar itu.</x:v>
      </x:c>
      <x:c r="E211" s="40" t="str"/>
      <x:c r="F211" s="40" t="str"/>
      <x:c r="G211" s="40" t="str"/>
      <x:c r="H211" s="40" t="str"/>
      <x:c r="I211" s="40" t="str"/>
      <x:c r="J211" s="34" t="str">
        <x:v>A2</x:v>
      </x:c>
      <x:c r="K211" s="34" t="str">
        <x:v>1.0</x:v>
      </x:c>
      <x:c r="L211" s="35" t="str">
        <x:f>IF(AND(E211="",F211="",G211="",H211="",I211=""),"",IF(OR(AND(H211="UNCLEAR",E211="",F211="",G211="",I211&lt;&gt;""),AND(H211="LABELED",COUNTIFS(Taksonomi!$A$5:$A$13,E211,Taksonomi!$B$5:$B$13,F211)=1,OR(G211="",AND(COUNTIF(Taksonomi!$D$4:$D$6,G211)=1,G211&lt;&gt;E211)))),"OK","PERIKSA"))</x:f>
      </x:c>
    </x:row>
    <x:row r="212" ht="145" customHeight="1">
      <x:c r="A212" s="34" t="str">
        <x:v>1914523759261945974</x:v>
      </x:c>
      <x:c r="B212" s="34" t="str">
        <x:v>1914457584435962294</x:v>
      </x:c>
      <x:c r="C212" s="34" t="str">
        <x:v>Kolaborasi Petani, Peternak, dan Profesional Sukseskan Program MBG di Cimahi
#MakanBergiziGratis https://t.co/iinnvga8PM</x:v>
      </x:c>
      <x:c r="D212" s="34" t="str">
        <x:v>'@GenZNusantara Bangkit bersama lewat MBG Cimahi buktiin masa depan bisa lebih sehat dan cerah</x:v>
      </x:c>
      <x:c r="E212" s="40" t="str"/>
      <x:c r="F212" s="40" t="str"/>
      <x:c r="G212" s="40" t="str"/>
      <x:c r="H212" s="40" t="str"/>
      <x:c r="I212" s="40" t="str"/>
      <x:c r="J212" s="34" t="str">
        <x:v>A2</x:v>
      </x:c>
      <x:c r="K212" s="34" t="str">
        <x:v>1.0</x:v>
      </x:c>
      <x:c r="L212" s="35" t="str">
        <x:f>IF(AND(E212="",F212="",G212="",H212="",I212=""),"",IF(OR(AND(H212="UNCLEAR",E212="",F212="",G212="",I212&lt;&gt;""),AND(H212="LABELED",COUNTIFS(Taksonomi!$A$5:$A$13,E212,Taksonomi!$B$5:$B$13,F212)=1,OR(G212="",AND(COUNTIF(Taksonomi!$D$4:$D$6,G212)=1,G212&lt;&gt;E212)))),"OK","PERIKSA"))</x:f>
      </x:c>
    </x:row>
    <x:row r="213" ht="145" customHeight="1">
      <x:c r="A213" s="34" t="str">
        <x:v>2014581981968007420</x:v>
      </x:c>
      <x:c r="B213" s="34" t="str">
        <x:v>2014518446344806667</x:v>
      </x:c>
      <x:c r="C213" s="34" t="str">
        <x:v>Prabowo: Penyaluran MBG Akan Lampaui McDonald's Per Harinya https://t.co/aCQXiomBnX</x:v>
      </x:c>
      <x:c r="D213" s="34" t="str">
        <x:v>'@tempodotco Ladang cuan</x:v>
      </x:c>
      <x:c r="E213" s="40" t="str"/>
      <x:c r="F213" s="40" t="str"/>
      <x:c r="G213" s="40" t="str"/>
      <x:c r="H213" s="40" t="str"/>
      <x:c r="I213" s="40" t="str"/>
      <x:c r="J213" s="34" t="str">
        <x:v>A2</x:v>
      </x:c>
      <x:c r="K213" s="34" t="str">
        <x:v>1.0</x:v>
      </x:c>
      <x:c r="L213" s="35" t="str">
        <x:f>IF(AND(E213="",F213="",G213="",H213="",I213=""),"",IF(OR(AND(H213="UNCLEAR",E213="",F213="",G213="",I213&lt;&gt;""),AND(H213="LABELED",COUNTIFS(Taksonomi!$A$5:$A$13,E213,Taksonomi!$B$5:$B$13,F213)=1,OR(G213="",AND(COUNTIF(Taksonomi!$D$4:$D$6,G213)=1,G213&lt;&gt;E213)))),"OK","PERIKSA"))</x:f>
      </x:c>
    </x:row>
    <x:row r="214" ht="145" customHeight="1">
      <x:c r="A214" s="34" t="str">
        <x:v>2009226149067632722</x:v>
      </x:c>
      <x:c r="B214" s="34" t="str">
        <x:v>2009100069522559063</x:v>
      </x:c>
      <x:c r="C214" s="34" t="str">
        <x:v>List gawean yg bisa jadi cuma ada di Indonesia..
- jasa screenshot iphone
- joki strava
- joki skripsi
- jastip merch
- jastip tiket konser
- seller app premium
- kang parkir
- ojek payung
- kang cilok
- manusia silver
- pak ogah
- pawang ujan
- dukun beranak
- buzzer
- pegawai embege</x:v>
      </x:c>
      <x:c r="D214" s="34" t="str">
        <x:v>'@karirfess jastip kirim menfess juga ada</x:v>
      </x:c>
      <x:c r="E214" s="40" t="str"/>
      <x:c r="F214" s="40" t="str"/>
      <x:c r="G214" s="40" t="str"/>
      <x:c r="H214" s="40" t="str"/>
      <x:c r="I214" s="40" t="str"/>
      <x:c r="J214" s="34" t="str">
        <x:v>A2</x:v>
      </x:c>
      <x:c r="K214" s="34" t="str">
        <x:v>1.0</x:v>
      </x:c>
      <x:c r="L214" s="35" t="str">
        <x:f>IF(AND(E214="",F214="",G214="",H214="",I214=""),"",IF(OR(AND(H214="UNCLEAR",E214="",F214="",G214="",I214&lt;&gt;""),AND(H214="LABELED",COUNTIFS(Taksonomi!$A$5:$A$13,E214,Taksonomi!$B$5:$B$13,F214)=1,OR(G214="",AND(COUNTIF(Taksonomi!$D$4:$D$6,G214)=1,G214&lt;&gt;E214)))),"OK","PERIKSA"))</x:f>
      </x:c>
    </x:row>
    <x:row r="215" ht="145" customHeight="1">
      <x:c r="A215" s="34" t="str">
        <x:v>1984256718046671331</x:v>
      </x:c>
      <x:c r="B215" s="34" t="str">
        <x:v>1984120887533293716</x:v>
      </x:c>
      <x:c r="C215" s="34" t="str">
        <x:v>Prabowo Subianto addresses Polri involvement in MBG:
“Kalau kau berangkat ke Barat, mungkin mereka juga merasa aneh, 'kok polisi urusin jagung?' Oh, masa polisi kok buka dapur?' Ya ini Indonesia, bung.”
(https://t.co/eROrX0XBGb) https://t.co/XVzmfCVKIH</x:v>
      </x:c>
      <x:c r="D215" s="34" t="str">
        <x:v>'@IndoPopBase Pantes pada keracunan</x:v>
      </x:c>
      <x:c r="E215" s="40" t="str"/>
      <x:c r="F215" s="40" t="str"/>
      <x:c r="G215" s="40" t="str"/>
      <x:c r="H215" s="40" t="str"/>
      <x:c r="I215" s="40" t="str"/>
      <x:c r="J215" s="34" t="str">
        <x:v>A2</x:v>
      </x:c>
      <x:c r="K215" s="34" t="str">
        <x:v>1.0</x:v>
      </x:c>
      <x:c r="L215" s="35" t="str">
        <x:f>IF(AND(E215="",F215="",G215="",H215="",I215=""),"",IF(OR(AND(H215="UNCLEAR",E215="",F215="",G215="",I215&lt;&gt;""),AND(H215="LABELED",COUNTIFS(Taksonomi!$A$5:$A$13,E215,Taksonomi!$B$5:$B$13,F215)=1,OR(G215="",AND(COUNTIF(Taksonomi!$D$4:$D$6,G215)=1,G215&lt;&gt;E215)))),"OK","PERIKSA"))</x:f>
      </x:c>
    </x:row>
    <x:row r="216" ht="145" customHeight="1">
      <x:c r="A216" s="34" t="str">
        <x:v>1920490225156891081</x:v>
      </x:c>
      <x:c r="B216" s="34" t="str">
        <x:v>1920311274795147520</x:v>
      </x:c>
      <x:c r="C216" s="34" t="str">
        <x:v>Yayasan Bill &amp;amp; Melinda Gates (Gates Foundation) menyatakan tidak terlibat dalam Program Makan Bergizi Gratis (MBG) di Indonesia.
~SA #BillGates #MBG #GatesFoundation
https://t.co/iDSrxbTveF</x:v>
      </x:c>
      <x:c r="D216" s="34" t="str">
        <x:v>'@kompascom trus tanggapan bapak @prabowo apa ya? 😂 https://t.co/wKXTAxMzsV</x:v>
      </x:c>
      <x:c r="E216" s="40" t="str"/>
      <x:c r="F216" s="40" t="str"/>
      <x:c r="G216" s="40" t="str"/>
      <x:c r="H216" s="40" t="str"/>
      <x:c r="I216" s="40" t="str"/>
      <x:c r="J216" s="34" t="str">
        <x:v>A2</x:v>
      </x:c>
      <x:c r="K216" s="34" t="str">
        <x:v>1.0</x:v>
      </x:c>
      <x:c r="L216" s="35" t="str">
        <x:f>IF(AND(E216="",F216="",G216="",H216="",I216=""),"",IF(OR(AND(H216="UNCLEAR",E216="",F216="",G216="",I216&lt;&gt;""),AND(H216="LABELED",COUNTIFS(Taksonomi!$A$5:$A$13,E216,Taksonomi!$B$5:$B$13,F216)=1,OR(G216="",AND(COUNTIF(Taksonomi!$D$4:$D$6,G216)=1,G216&lt;&gt;E216)))),"OK","PERIKSA"))</x:f>
      </x:c>
    </x:row>
    <x:row r="217" ht="145" customHeight="1">
      <x:c r="A217" s="34" t="str">
        <x:v>1891383709548343384</x:v>
      </x:c>
      <x:c r="B217" s="34" t="str">
        <x:v>1891341522773201080</x:v>
      </x:c>
      <x:c r="C217" s="34" t="str">
        <x:v>Hari ini (17/2) Ribuan pelajar turun jalan di berbabagai wilayah di tanah Papua tolak Makan Bergizi Gratis (MBG). Anak-anak sekolah dipaksa duduk, dipaksa makan dari tangan yang masih berlumuran darah keluarga mereka.
#mbg https://t.co/dQQHBgbFOB</x:v>
      </x:c>
      <x:c r="D217" s="34" t="str">
        <x:v>'@vyeimo83 ..pelajar bermartabat dari sebuah pulau yang (sampai) saat ini masih ter'jajah' oleh elite di jakarta</x:v>
      </x:c>
      <x:c r="E217" s="40" t="str"/>
      <x:c r="F217" s="40" t="str"/>
      <x:c r="G217" s="40" t="str"/>
      <x:c r="H217" s="40" t="str"/>
      <x:c r="I217" s="40" t="str"/>
      <x:c r="J217" s="34" t="str">
        <x:v>A2</x:v>
      </x:c>
      <x:c r="K217" s="34" t="str">
        <x:v>1.0</x:v>
      </x:c>
      <x:c r="L217" s="35" t="str">
        <x:f>IF(AND(E217="",F217="",G217="",H217="",I217=""),"",IF(OR(AND(H217="UNCLEAR",E217="",F217="",G217="",I217&lt;&gt;""),AND(H217="LABELED",COUNTIFS(Taksonomi!$A$5:$A$13,E217,Taksonomi!$B$5:$B$13,F217)=1,OR(G217="",AND(COUNTIF(Taksonomi!$D$4:$D$6,G217)=1,G217&lt;&gt;E217)))),"OK","PERIKSA"))</x:f>
      </x:c>
    </x:row>
    <x:row r="218" ht="145" customHeight="1">
      <x:c r="A218" s="34" t="str">
        <x:v>1919909636762960106</x:v>
      </x:c>
      <x:c r="B218" s="34" t="str">
        <x:v>1919618563968586130</x:v>
      </x:c>
      <x:c r="C218" s="34" t="str">
        <x:v>Presiden Prabowo Subianto mengklaim angka keracunan program makan bergizi gratis lebih kecil dibandingkan penerima manfaatnya. 
Angka kasus keracunan makanan bergizi sekitar 200 dari 3 juta penerima manfaat.
#Tempodotco #Prabowo #MBG https://t.co/xu9aGIeiZv</x:v>
      </x:c>
      <x:c r="D218" s="34" t="str">
        <x:v>'@tempodotco Tata kelola buruk, keliru menyalurkan anggaran, hingga dugaan penggelapan mewarnai proyek Makan Bergizi Gratis (MBG). Harus segera dihentikan</x:v>
      </x:c>
      <x:c r="E218" s="40" t="str"/>
      <x:c r="F218" s="40" t="str"/>
      <x:c r="G218" s="40" t="str"/>
      <x:c r="H218" s="40" t="str"/>
      <x:c r="I218" s="40" t="str"/>
      <x:c r="J218" s="34" t="str">
        <x:v>A2</x:v>
      </x:c>
      <x:c r="K218" s="34" t="str">
        <x:v>1.0</x:v>
      </x:c>
      <x:c r="L218" s="35" t="str">
        <x:f>IF(AND(E218="",F218="",G218="",H218="",I218=""),"",IF(OR(AND(H218="UNCLEAR",E218="",F218="",G218="",I218&lt;&gt;""),AND(H218="LABELED",COUNTIFS(Taksonomi!$A$5:$A$13,E218,Taksonomi!$B$5:$B$13,F218)=1,OR(G218="",AND(COUNTIF(Taksonomi!$D$4:$D$6,G218)=1,G218&lt;&gt;E218)))),"OK","PERIKSA"))</x:f>
      </x:c>
    </x:row>
    <x:row r="219" ht="145" customHeight="1">
      <x:c r="A219" s="34" t="str">
        <x:v>1914529985370656963</x:v>
      </x:c>
      <x:c r="B219" s="34" t="str">
        <x:v>1914457055165079682</x:v>
      </x:c>
      <x:c r="C219" s="34" t="str">
        <x:v>Siswa MAN 1 Cianjur yang Keracunan Usai Santap MBG Bertambah Jadi 38 Orang | #Keracunan #MakanBergiziGratis #Cianjur 
https://t.co/kNWWU4FSaO</x:v>
      </x:c>
      <x:c r="D219" s="34" t="str">
        <x:v>'@kompascom - Pihak penyedia ada yang belum dibayar
- Makanan yang dibagikan kurang standart gizi dan kurang higienis 
- Korupsi oleh pihak penyelenggara
Buzzernya diam, menterinya memperkaya diri, wakilnya gak jelas, presidennya pura² sibuk.. 
Negaraku 👍</x:v>
      </x:c>
      <x:c r="E219" s="40" t="str"/>
      <x:c r="F219" s="40" t="str"/>
      <x:c r="G219" s="40" t="str"/>
      <x:c r="H219" s="40" t="str"/>
      <x:c r="I219" s="40" t="str"/>
      <x:c r="J219" s="34" t="str">
        <x:v>A2</x:v>
      </x:c>
      <x:c r="K219" s="34" t="str">
        <x:v>1.0</x:v>
      </x:c>
      <x:c r="L219" s="35" t="str">
        <x:f>IF(AND(E219="",F219="",G219="",H219="",I219=""),"",IF(OR(AND(H219="UNCLEAR",E219="",F219="",G219="",I219&lt;&gt;""),AND(H219="LABELED",COUNTIFS(Taksonomi!$A$5:$A$13,E219,Taksonomi!$B$5:$B$13,F219)=1,OR(G219="",AND(COUNTIF(Taksonomi!$D$4:$D$6,G219)=1,G219&lt;&gt;E219)))),"OK","PERIKSA"))</x:f>
      </x:c>
    </x:row>
    <x:row r="220" ht="145" customHeight="1">
      <x:c r="A220" s="34" t="str">
        <x:v>2011141062514090351</x:v>
      </x:c>
      <x:c r="B220" s="34" t="str">
        <x:v>2010970065609359372</x:v>
      </x:c>
      <x:c r="C220" s="34" t="str">
        <x:v>Prabowo mengklaim proyek MBG sebagai salah satu keberhasilannya.
#Tempodotco https://t.co/i3flDy1oeb</x:v>
      </x:c>
      <x:c r="D220" s="34" t="str">
        <x:v>'@tempodotco Berhasil secara kuantitatif buat apa? Berapa banyak dapur yg menyajikan makanan berkualitas? Dan dapur yang menyimpan sudah berapa banyak yang ditindak?</x:v>
      </x:c>
      <x:c r="E220" s="40" t="str"/>
      <x:c r="F220" s="40" t="str"/>
      <x:c r="G220" s="40" t="str"/>
      <x:c r="H220" s="40" t="str"/>
      <x:c r="I220" s="40" t="str"/>
      <x:c r="J220" s="34" t="str">
        <x:v>A2</x:v>
      </x:c>
      <x:c r="K220" s="34" t="str">
        <x:v>1.0</x:v>
      </x:c>
      <x:c r="L220" s="35" t="str">
        <x:f>IF(AND(E220="",F220="",G220="",H220="",I220=""),"",IF(OR(AND(H220="UNCLEAR",E220="",F220="",G220="",I220&lt;&gt;""),AND(H220="LABELED",COUNTIFS(Taksonomi!$A$5:$A$13,E220,Taksonomi!$B$5:$B$13,F220)=1,OR(G220="",AND(COUNTIF(Taksonomi!$D$4:$D$6,G220)=1,G220&lt;&gt;E220)))),"OK","PERIKSA"))</x:f>
      </x:c>
    </x:row>
    <x:row r="221" ht="145" customHeight="1">
      <x:c r="A221" s="34" t="str">
        <x:v>1945316656601030826</x:v>
      </x:c>
      <x:c r="B221" s="34" t="str">
        <x:v>1945282598722474369</x:v>
      </x:c>
      <x:c r="C221" s="34" t="str">
        <x:v>Sejumlah siswa berseragam putih abu-abu di Kabupaten Tuban, Jawa Timur, menemukan larva pada paket menu makan bergizi gratis (MBG) yang didistribusikan ke sekolah-sekolah.
~LL #MBG
https://t.co/zVpjMqx76X</x:v>
      </x:c>
      <x:c r="D221" s="34" t="str">
        <x:v>'@kompascom Mkn itu bagian dr penambahan protein kata kepala BGN</x:v>
      </x:c>
      <x:c r="E221" s="40" t="str"/>
      <x:c r="F221" s="40" t="str"/>
      <x:c r="G221" s="40" t="str"/>
      <x:c r="H221" s="40" t="str"/>
      <x:c r="I221" s="40" t="str"/>
      <x:c r="J221" s="34" t="str">
        <x:v>A2</x:v>
      </x:c>
      <x:c r="K221" s="34" t="str">
        <x:v>1.0</x:v>
      </x:c>
      <x:c r="L221" s="35" t="str">
        <x:f>IF(AND(E221="",F221="",G221="",H221="",I221=""),"",IF(OR(AND(H221="UNCLEAR",E221="",F221="",G221="",I221&lt;&gt;""),AND(H221="LABELED",COUNTIFS(Taksonomi!$A$5:$A$13,E221,Taksonomi!$B$5:$B$13,F221)=1,OR(G221="",AND(COUNTIF(Taksonomi!$D$4:$D$6,G221)=1,G221&lt;&gt;E221)))),"OK","PERIKSA"))</x:f>
      </x:c>
    </x:row>
    <x:row r="222" ht="145" customHeight="1">
      <x:c r="A222" s="34" t="str">
        <x:v>1971572015279812899</x:v>
      </x:c>
      <x:c r="B222" s="34" t="str">
        <x:v>1971543596244623542</x:v>
      </x:c>
      <x:c r="C222" s="34" t="str">
        <x:v>"Mau punyanya jenderal, mau punyanya siapa, kalau melanggar, akan saya tutup. Saya enggak peduli. Karena ini nyangkut nyawa manusia," ujar Nanik
Klik untuk baca: https://t.co/feWh0ycakM
| #Jenderal #BadanGiziNasional #MakanBergiziGratis https://t.co/v02UFU3MV5</x:v>
      </x:c>
      <x:c r="D222" s="34" t="str">
        <x:v>'@kompascom jelas sudah program raksasa penyedot duit rakyat gini cuma bancakan circle yg lagi berkuasa
apapun itu programnya, jdi penguasa tujuannya cuma bagi bagi bancakan anggaran negara dari setoran pajak rakjat 🤣🤣</x:v>
      </x:c>
      <x:c r="E222" s="40" t="str"/>
      <x:c r="F222" s="40" t="str"/>
      <x:c r="G222" s="40" t="str"/>
      <x:c r="H222" s="40" t="str"/>
      <x:c r="I222" s="40" t="str"/>
      <x:c r="J222" s="34" t="str">
        <x:v>A2</x:v>
      </x:c>
      <x:c r="K222" s="34" t="str">
        <x:v>1.0</x:v>
      </x:c>
      <x:c r="L222" s="35" t="str">
        <x:f>IF(AND(E222="",F222="",G222="",H222="",I222=""),"",IF(OR(AND(H222="UNCLEAR",E222="",F222="",G222="",I222&lt;&gt;""),AND(H222="LABELED",COUNTIFS(Taksonomi!$A$5:$A$13,E222,Taksonomi!$B$5:$B$13,F222)=1,OR(G222="",AND(COUNTIF(Taksonomi!$D$4:$D$6,G222)=1,G222&lt;&gt;E222)))),"OK","PERIKSA"))</x:f>
      </x:c>
    </x:row>
    <x:row r="223" ht="145" customHeight="1">
      <x:c r="A223" s="34" t="str">
        <x:v>2018293850830475447</x:v>
      </x:c>
      <x:c r="B223" s="34" t="str">
        <x:v>2018263126114754614</x:v>
      </x:c>
      <x:c r="C223" s="34" t="str">
        <x:v>Prabowo Singgung Lagi Distribusi MBG di Sumbar dan Aceh
“Buktinya saya kalah di Sumatera Barat, benar? Tapi tetap MBG sampai ke Sumatera Barat. Saya juga kalah di Aceh, kan? Tapi tetap kami bangun Aceh habis-habisan,” ucapnya. https://t.co/TAuI15TtaK</x:v>
      </x:c>
      <x:c r="D223" s="34" t="str">
        <x:v>'@tempodotco distribusi MBG dan pembangunan memang kewajiban negara, bukan hadiah politik. justru idealnya tak perlu disebut-sebut soal kalah atau menang.</x:v>
      </x:c>
      <x:c r="E223" s="40" t="str"/>
      <x:c r="F223" s="40" t="str"/>
      <x:c r="G223" s="40" t="str"/>
      <x:c r="H223" s="40" t="str"/>
      <x:c r="I223" s="40" t="str"/>
      <x:c r="J223" s="34" t="str">
        <x:v>A2</x:v>
      </x:c>
      <x:c r="K223" s="34" t="str">
        <x:v>1.0</x:v>
      </x:c>
      <x:c r="L223" s="35" t="str">
        <x:f>IF(AND(E223="",F223="",G223="",H223="",I223=""),"",IF(OR(AND(H223="UNCLEAR",E223="",F223="",G223="",I223&lt;&gt;""),AND(H223="LABELED",COUNTIFS(Taksonomi!$A$5:$A$13,E223,Taksonomi!$B$5:$B$13,F223)=1,OR(G223="",AND(COUNTIF(Taksonomi!$D$4:$D$6,G223)=1,G223&lt;&gt;E223)))),"OK","PERIKSA"))</x:f>
      </x:c>
    </x:row>
    <x:row r="224" ht="145" customHeight="1">
      <x:c r="A224" s="34" t="str">
        <x:v>1972131160483606583</x:v>
      </x:c>
      <x:c r="B224" s="34" t="str">
        <x:v>1972104726255964224</x:v>
      </x:c>
      <x:c r="C224" s="34" t="str">
        <x:v>Prabowo Subianto addresses public calls to end MBG distribution following the surge in cases of children poisoned across regions:
“Tujuan Makan Bergizi adalah untuk anak-anak kita yang sering sulit makan. Mungkin kita-kita ini makan lumayan. Mereka tuh makannya hanya nasi pakai garam. Ini yang harus kita atasi.” (via Kompas)</x:v>
      </x:c>
      <x:c r="D224" s="34" t="str">
        <x:v>'@IndoPopBase Pak, kemana aja??
Dari jaman uji coba juga udah banyak yg protes krn pelaksanaannya di sekolah yg cenderung elite.
Udah pelaksanaan bahkan swasta juga dapat. Dari dulu juga udah banyak yg kasih saran, mulai dari daerah 3T dulu. Lanjut pendataan dsb. Gaharus semua dapat pak…</x:v>
      </x:c>
      <x:c r="E224" s="40" t="str"/>
      <x:c r="F224" s="40" t="str"/>
      <x:c r="G224" s="40" t="str"/>
      <x:c r="H224" s="40" t="str"/>
      <x:c r="I224" s="40" t="str"/>
      <x:c r="J224" s="34" t="str">
        <x:v>A2</x:v>
      </x:c>
      <x:c r="K224" s="34" t="str">
        <x:v>1.0</x:v>
      </x:c>
      <x:c r="L224" s="35" t="str">
        <x:f>IF(AND(E224="",F224="",G224="",H224="",I224=""),"",IF(OR(AND(H224="UNCLEAR",E224="",F224="",G224="",I224&lt;&gt;""),AND(H224="LABELED",COUNTIFS(Taksonomi!$A$5:$A$13,E224,Taksonomi!$B$5:$B$13,F224)=1,OR(G224="",AND(COUNTIF(Taksonomi!$D$4:$D$6,G224)=1,G224&lt;&gt;E224)))),"OK","PERIKSA"))</x:f>
      </x:c>
    </x:row>
    <x:row r="225" ht="145" customHeight="1">
      <x:c r="A225" s="34" t="str">
        <x:v>1919447379918635425</x:v>
      </x:c>
      <x:c r="B225" s="34" t="str">
        <x:v>1919415902879023381</x:v>
      </x:c>
      <x:c r="C225" s="34" t="str">
        <x:v>Prabowo Subianto claims that the success rate of the MBG program is 99.99%:
“Yang rawat inap hanya 5 orang. Jadi bisa dikatakan yang keracunan sejumlah 200 orang, itu 200 dari 3 koma sekian juta kalau tidak salah adalah 0,005 persen. Berarti keberhasilannya adalah 99,99 persen.” https://t.co/Vpr9KtyRed</x:v>
      </x:c>
      <x:c r="D225" s="34" t="str">
        <x:v>'@IndoPopBase beneran pengen blow up ini, kepala sppg yg ngurus MBG ini ada yg ga lulus S1 alias DO 😭</x:v>
      </x:c>
      <x:c r="E225" s="40" t="str"/>
      <x:c r="F225" s="40" t="str"/>
      <x:c r="G225" s="40" t="str"/>
      <x:c r="H225" s="40" t="str"/>
      <x:c r="I225" s="40" t="str"/>
      <x:c r="J225" s="34" t="str">
        <x:v>A2</x:v>
      </x:c>
      <x:c r="K225" s="34" t="str">
        <x:v>1.0</x:v>
      </x:c>
      <x:c r="L225" s="35" t="str">
        <x:f>IF(AND(E225="",F225="",G225="",H225="",I225=""),"",IF(OR(AND(H225="UNCLEAR",E225="",F225="",G225="",I225&lt;&gt;""),AND(H225="LABELED",COUNTIFS(Taksonomi!$A$5:$A$13,E225,Taksonomi!$B$5:$B$13,F225)=1,OR(G225="",AND(COUNTIF(Taksonomi!$D$4:$D$6,G225)=1,G225&lt;&gt;E225)))),"OK","PERIKSA"))</x:f>
      </x:c>
    </x:row>
    <x:row r="226" ht="145" customHeight="1">
      <x:c r="A226" s="34" t="str">
        <x:v>1798190716709212616</x:v>
      </x:c>
      <x:c r="B226" s="34" t="str">
        <x:v>1798144099419406550</x:v>
      </x:c>
      <x:c r="C226" s="34" t="str">
        <x:v>Sri Mulyani Dukung Program Makan Bergizi Gratis Prabowo: Untuk Perbaikan Sumber Daya Manusia https://t.co/3Rx5ibLX6o #TempoBisnis</x:v>
      </x:c>
      <x:c r="D226" s="34" t="str">
        <x:v>'@tempodotco Tak ada dukungan yg gratis...time will tell....</x:v>
      </x:c>
      <x:c r="E226" s="40" t="str"/>
      <x:c r="F226" s="40" t="str"/>
      <x:c r="G226" s="40" t="str"/>
      <x:c r="H226" s="40" t="str"/>
      <x:c r="I226" s="40" t="str"/>
      <x:c r="J226" s="34" t="str">
        <x:v>A2</x:v>
      </x:c>
      <x:c r="K226" s="34" t="str">
        <x:v>1.0</x:v>
      </x:c>
      <x:c r="L226" s="35" t="str">
        <x:f>IF(AND(E226="",F226="",G226="",H226="",I226=""),"",IF(OR(AND(H226="UNCLEAR",E226="",F226="",G226="",I226&lt;&gt;""),AND(H226="LABELED",COUNTIFS(Taksonomi!$A$5:$A$13,E226,Taksonomi!$B$5:$B$13,F226)=1,OR(G226="",AND(COUNTIF(Taksonomi!$D$4:$D$6,G226)=1,G226&lt;&gt;E226)))),"OK","PERIKSA"))</x:f>
      </x:c>
    </x:row>
    <x:row r="227" ht="145" customHeight="1">
      <x:c r="A227" s="34" t="str">
        <x:v>1890045405179924935</x:v>
      </x:c>
      <x:c r="B227" s="34" t="str">
        <x:v>1889587856714125570</x:v>
      </x:c>
      <x:c r="C227" s="34" t="str">
        <x:v>Ternyata Makan bergizi gratis gak ada gratis-gratisnya ya? biayanya pakai kehilangan pekerjaan ayah nya ya?
Kenapa sih hal kecil kaya gini aja harus bohong</x:v>
      </x:c>
      <x:c r="D227" s="34" t="str">
        <x:v>'@hrdbacot @hitosins makan gratis juga harus beli tempat bekal nya dulu, abistu dikasih nya ga tiap hari, enak ga enak. kalau di tanya harus bilangnya enak</x:v>
      </x:c>
      <x:c r="E227" s="40" t="str"/>
      <x:c r="F227" s="40" t="str"/>
      <x:c r="G227" s="40" t="str"/>
      <x:c r="H227" s="40" t="str"/>
      <x:c r="I227" s="40" t="str"/>
      <x:c r="J227" s="34" t="str">
        <x:v>A2</x:v>
      </x:c>
      <x:c r="K227" s="34" t="str">
        <x:v>1.0</x:v>
      </x:c>
      <x:c r="L227" s="35" t="str">
        <x:f>IF(AND(E227="",F227="",G227="",H227="",I227=""),"",IF(OR(AND(H227="UNCLEAR",E227="",F227="",G227="",I227&lt;&gt;""),AND(H227="LABELED",COUNTIFS(Taksonomi!$A$5:$A$13,E227,Taksonomi!$B$5:$B$13,F227)=1,OR(G227="",AND(COUNTIF(Taksonomi!$D$4:$D$6,G227)=1,G227&lt;&gt;E227)))),"OK","PERIKSA"))</x:f>
      </x:c>
    </x:row>
    <x:row r="228" ht="145" customHeight="1">
      <x:c r="A228" s="34" t="str">
        <x:v>1876506918115750360</x:v>
      </x:c>
      <x:c r="B228" s="34" t="str">
        <x:v>1876498298858778996</x:v>
      </x:c>
      <x:c r="C228" s="34" t="str">
        <x:v>Udah dipost di Tiktok ternyata. Seperti biasa isi komennya:
“Ini makan bergizi gratis, bukan makan sesuai selera.” ☺️ https://t.co/bcMf67P4eg</x:v>
      </x:c>
      <x:c r="D228" s="34" t="str">
        <x:v>'@karimasoyou Banyak banget narasi2 seperti ini di apk seblah, bahkan ada yg sampai bilang anaknya ngga tu syukur dan bahkan nyalahin orang tuanya karena ngga membiasakan anaknya makan makanan kek gitu. Aneh banget pola pikirnya</x:v>
      </x:c>
      <x:c r="E228" s="40" t="str"/>
      <x:c r="F228" s="40" t="str"/>
      <x:c r="G228" s="40" t="str"/>
      <x:c r="H228" s="40" t="str"/>
      <x:c r="I228" s="40" t="str"/>
      <x:c r="J228" s="34" t="str">
        <x:v>A2</x:v>
      </x:c>
      <x:c r="K228" s="34" t="str">
        <x:v>1.0</x:v>
      </x:c>
      <x:c r="L228" s="35" t="str">
        <x:f>IF(AND(E228="",F228="",G228="",H228="",I228=""),"",IF(OR(AND(H228="UNCLEAR",E228="",F228="",G228="",I228&lt;&gt;""),AND(H228="LABELED",COUNTIFS(Taksonomi!$A$5:$A$13,E228,Taksonomi!$B$5:$B$13,F228)=1,OR(G228="",AND(COUNTIF(Taksonomi!$D$4:$D$6,G228)=1,G228&lt;&gt;E228)))),"OK","PERIKSA"))</x:f>
      </x:c>
    </x:row>
    <x:row r="229" ht="145" customHeight="1">
      <x:c r="A229" s="34" t="str">
        <x:v>2013838920673353785</x:v>
      </x:c>
      <x:c r="B229" s="34" t="str">
        <x:v>2013481716749582602</x:v>
      </x:c>
      <x:c r="C229" s="34" t="str">
        <x:v>Unboxing gaji pegawai MBG &amp;amp; Guru Honorer.....@prabowo tau gak ya 🤔
MBG.                                Guru Honorer https://t.co/AKCf1V3S4J</x:v>
      </x:c>
      <x:c r="D229" s="34" t="str">
        <x:v>'@yaniarsim @prabowo Yang urus anggaran DPR. Dan para bedebah Senayan itu pada belaga buta tuli terhadap pelecehan thd Guru² kita 😔</x:v>
      </x:c>
      <x:c r="E229" s="40" t="str"/>
      <x:c r="F229" s="40" t="str"/>
      <x:c r="G229" s="40" t="str"/>
      <x:c r="H229" s="40" t="str"/>
      <x:c r="I229" s="40" t="str"/>
      <x:c r="J229" s="34" t="str">
        <x:v>A2</x:v>
      </x:c>
      <x:c r="K229" s="34" t="str">
        <x:v>1.0</x:v>
      </x:c>
      <x:c r="L229" s="35" t="str">
        <x:f>IF(AND(E229="",F229="",G229="",H229="",I229=""),"",IF(OR(AND(H229="UNCLEAR",E229="",F229="",G229="",I229&lt;&gt;""),AND(H229="LABELED",COUNTIFS(Taksonomi!$A$5:$A$13,E229,Taksonomi!$B$5:$B$13,F229)=1,OR(G229="",AND(COUNTIF(Taksonomi!$D$4:$D$6,G229)=1,G229&lt;&gt;E229)))),"OK","PERIKSA"))</x:f>
      </x:c>
    </x:row>
    <x:row r="230" ht="145" customHeight="1">
      <x:c r="A230" s="34" t="str">
        <x:v>1913023355172913372</x:v>
      </x:c>
      <x:c r="B230" s="34" t="str">
        <x:v>1912839980176814311</x:v>
      </x:c>
      <x:c r="C230" s="34" t="str">
        <x:v>Sengkarut dapur makan bergizi gratis di Jakarta Selatan jadi bukti bahwa program besar butuh perencanaan matang, bukan sekadar gebrakan.
Bagaimana Badan Gizi Nasional akan membenahi kekacauan ini?🤷‍♀️
#TempoThread https://t.co/9JRkZIHk9Q</x:v>
      </x:c>
      <x:c r="D230" s="34" t="str">
        <x:v>'@tempodotco Ide yang baik.. Cara yang tolol.. 
Berikan pendidikan gratis bermutu merata.. 
Berikan Makan Gratis di daerah tertinggal.. 
Jaga dan tingkatkan kualitas guru</x:v>
      </x:c>
      <x:c r="E230" s="40" t="str"/>
      <x:c r="F230" s="40" t="str"/>
      <x:c r="G230" s="40" t="str"/>
      <x:c r="H230" s="40" t="str"/>
      <x:c r="I230" s="40" t="str"/>
      <x:c r="J230" s="34" t="str">
        <x:v>A2</x:v>
      </x:c>
      <x:c r="K230" s="34" t="str">
        <x:v>1.0</x:v>
      </x:c>
      <x:c r="L230" s="35" t="str">
        <x:f>IF(AND(E230="",F230="",G230="",H230="",I230=""),"",IF(OR(AND(H230="UNCLEAR",E230="",F230="",G230="",I230&lt;&gt;""),AND(H230="LABELED",COUNTIFS(Taksonomi!$A$5:$A$13,E230,Taksonomi!$B$5:$B$13,F230)=1,OR(G230="",AND(COUNTIF(Taksonomi!$D$4:$D$6,G230)=1,G230&lt;&gt;E230)))),"OK","PERIKSA"))</x:f>
      </x:c>
    </x:row>
    <x:row r="231" ht="145" customHeight="1">
      <x:c r="A231" s="34" t="str">
        <x:v>1879875161270439995</x:v>
      </x:c>
      <x:c r="B231" s="34" t="str">
        <x:v>1879818088931266667</x:v>
      </x:c>
      <x:c r="C231" s="34" t="str">
        <x:v>Puluhan siswa Sekolah Dasar (SD) Negeri Dukuh 03, Kabupaten Sukoharjo, Jawa Tengah, mengalami keracunan setelah mengonsumsi menu Makan Bergizi Gratis (MBG) pada Kamis (16/1/2025).
&amp;lt; #MakanBergiziGratis #Sukoharjo 
https://t.co/9FeSjxyNNE</x:v>
      </x:c>
      <x:c r="D231" s="34" t="str">
        <x:v>'@kompascom Kiranya mbg ini bakal dievaluasi gak ya? Kalo dirasa ga berhasil, bisa dihentikan gitu. Dlm pelaksanaannya aja keliatan konsep kurang matang, anggaran yg jor2an, belum lg standar gizi yg gak terukur itu.</x:v>
      </x:c>
      <x:c r="E231" s="40" t="str"/>
      <x:c r="F231" s="40" t="str"/>
      <x:c r="G231" s="40" t="str"/>
      <x:c r="H231" s="40" t="str"/>
      <x:c r="I231" s="40" t="str"/>
      <x:c r="J231" s="34" t="str">
        <x:v>A2</x:v>
      </x:c>
      <x:c r="K231" s="34" t="str">
        <x:v>1.0</x:v>
      </x:c>
      <x:c r="L231" s="35" t="str">
        <x:f>IF(AND(E231="",F231="",G231="",H231="",I231=""),"",IF(OR(AND(H231="UNCLEAR",E231="",F231="",G231="",I231&lt;&gt;""),AND(H231="LABELED",COUNTIFS(Taksonomi!$A$5:$A$13,E231,Taksonomi!$B$5:$B$13,F231)=1,OR(G231="",AND(COUNTIF(Taksonomi!$D$4:$D$6,G231)=1,G231&lt;&gt;E231)))),"OK","PERIKSA"))</x:f>
      </x:c>
    </x:row>
    <x:row r="232" ht="145" customHeight="1">
      <x:c r="A232" s="34" t="str">
        <x:v>1971716042608333088</x:v>
      </x:c>
      <x:c r="B232" s="34" t="str">
        <x:v>1971543596244623542</x:v>
      </x:c>
      <x:c r="C232" s="34" t="str">
        <x:v>"Mau punyanya jenderal, mau punyanya siapa, kalau melanggar, akan saya tutup. Saya enggak peduli. Karena ini nyangkut nyawa manusia," ujar Nanik
Klik untuk baca: https://t.co/feWh0ycakM
| #Jenderal #BadanGiziNasional #MakanBergiziGratis https://t.co/v02UFU3MV5</x:v>
      </x:c>
      <x:c r="D232" s="34" t="str">
        <x:v>'@kompascom Uda paling bener,konsep MBG itu kasih dananya ke orangtua anak..trus  dikasih menu makanan tiap hari ke orangtua..agar orangtua bisa siapin makanan..lebih efektif.daripada repot repot adain dapur MBG  dan lain lain</x:v>
      </x:c>
      <x:c r="E232" s="40" t="str"/>
      <x:c r="F232" s="40" t="str"/>
      <x:c r="G232" s="40" t="str"/>
      <x:c r="H232" s="40" t="str"/>
      <x:c r="I232" s="40" t="str"/>
      <x:c r="J232" s="34" t="str">
        <x:v>A2</x:v>
      </x:c>
      <x:c r="K232" s="34" t="str">
        <x:v>1.0</x:v>
      </x:c>
      <x:c r="L232" s="35" t="str">
        <x:f>IF(AND(E232="",F232="",G232="",H232="",I232=""),"",IF(OR(AND(H232="UNCLEAR",E232="",F232="",G232="",I232&lt;&gt;""),AND(H232="LABELED",COUNTIFS(Taksonomi!$A$5:$A$13,E232,Taksonomi!$B$5:$B$13,F232)=1,OR(G232="",AND(COUNTIF(Taksonomi!$D$4:$D$6,G232)=1,G232&lt;&gt;E232)))),"OK","PERIKSA"))</x:f>
      </x:c>
    </x:row>
    <x:row r="233" ht="145" customHeight="1">
      <x:c r="A233" s="34" t="str">
        <x:v>1889591236916351003</x:v>
      </x:c>
      <x:c r="B233" s="34" t="str">
        <x:v>1889587856714125570</x:v>
      </x:c>
      <x:c r="C233" s="34" t="str">
        <x:v>Ternyata Makan bergizi gratis gak ada gratis-gratisnya ya? biayanya pakai kehilangan pekerjaan ayah nya ya?
Kenapa sih hal kecil kaya gini aja harus bohong</x:v>
      </x:c>
      <x:c r="D233" s="34" t="str">
        <x:v>'@hrdbacot Kan apa ku bilang? Persetan sama pendidikan berkualitas, pendidikan gratis, lapangan kerja mudah, upah layak, fasilitas kesehatan bagus, gratis. Semua masalah tambal aja pake makan siang. Anak kenyang, bapak ibunya dipecat. Efisiensi anggaran cm buat ngasih duit stafsus ga guna.</x:v>
      </x:c>
      <x:c r="E233" s="40" t="str"/>
      <x:c r="F233" s="40" t="str"/>
      <x:c r="G233" s="40" t="str"/>
      <x:c r="H233" s="40" t="str"/>
      <x:c r="I233" s="40" t="str"/>
      <x:c r="J233" s="34" t="str">
        <x:v>A2</x:v>
      </x:c>
      <x:c r="K233" s="34" t="str">
        <x:v>1.0</x:v>
      </x:c>
      <x:c r="L233" s="35" t="str">
        <x:f>IF(AND(E233="",F233="",G233="",H233="",I233=""),"",IF(OR(AND(H233="UNCLEAR",E233="",F233="",G233="",I233&lt;&gt;""),AND(H233="LABELED",COUNTIFS(Taksonomi!$A$5:$A$13,E233,Taksonomi!$B$5:$B$13,F233)=1,OR(G233="",AND(COUNTIF(Taksonomi!$D$4:$D$6,G233)=1,G233&lt;&gt;E233)))),"OK","PERIKSA"))</x:f>
      </x:c>
    </x:row>
    <x:row r="234" ht="145" customHeight="1">
      <x:c r="A234" s="34" t="str">
        <x:v>1876542242929950769</x:v>
      </x:c>
      <x:c r="B234" s="34" t="str">
        <x:v>1876465212112678995</x:v>
      </x:c>
      <x:c r="C234" s="34" t="str">
        <x:v>Karut-Marut Makan Bergizi Gratis di Hari Pertama
Badan Gizi Nasional memulai program makan bergizi gratis, Senin, 6 Desember 2025. Sasaran awal program itu sebanyak 600 ribu anak di 26 provinsi. Namun banyak persoalan yang muncul pada hari pertama pelaksanaan janji kampanye Prabowo Subianto tersebut. Pihak sekolah kebingungan akibat ketiadaan petunjuk teknis kegiatan.
Apa saja persoalan makan bergizi gratis yang terjadi di lapangan?
#TempoHarian terbit empat kali sehari dalam bentuk digital. Baca di https://t.co/MR22quwcLm.
#TempoHarian #TempoPlus</x:v>
      </x:c>
      <x:c r="D234" s="34" t="str">
        <x:v>'@tempodotco Makan paket hemat sekali https://t.co/khTCLYv8fL</x:v>
      </x:c>
      <x:c r="E234" s="40" t="str"/>
      <x:c r="F234" s="40" t="str"/>
      <x:c r="G234" s="40" t="str"/>
      <x:c r="H234" s="40" t="str"/>
      <x:c r="I234" s="40" t="str"/>
      <x:c r="J234" s="34" t="str">
        <x:v>A2</x:v>
      </x:c>
      <x:c r="K234" s="34" t="str">
        <x:v>1.0</x:v>
      </x:c>
      <x:c r="L234" s="35" t="str">
        <x:f>IF(AND(E234="",F234="",G234="",H234="",I234=""),"",IF(OR(AND(H234="UNCLEAR",E234="",F234="",G234="",I234&lt;&gt;""),AND(H234="LABELED",COUNTIFS(Taksonomi!$A$5:$A$13,E234,Taksonomi!$B$5:$B$13,F234)=1,OR(G234="",AND(COUNTIF(Taksonomi!$D$4:$D$6,G234)=1,G234&lt;&gt;E234)))),"OK","PERIKSA"))</x:f>
      </x:c>
    </x:row>
    <x:row r="235" ht="145" customHeight="1">
      <x:c r="A235" s="34" t="str">
        <x:v>1843600442510717405</x:v>
      </x:c>
      <x:c r="B235" s="34" t="str">
        <x:v>1843567650741596241</x:v>
      </x:c>
      <x:c r="C235" s="34" t="str">
        <x:v>Prabowo akan Anggarkan Rp 1,2 Triliun per Hari untuk Makan Bergizi Gratis https://t.co/s9TH9ekjqP</x:v>
      </x:c>
      <x:c r="D235" s="34" t="str">
        <x:v>'@tempodotco 1,2T per hari ? 
438 T per tahun?
ini uang cuma utk barang habis pakai
potensi korupsi yg sangat besar</x:v>
      </x:c>
      <x:c r="E235" s="40" t="str"/>
      <x:c r="F235" s="40" t="str"/>
      <x:c r="G235" s="40" t="str"/>
      <x:c r="H235" s="40" t="str"/>
      <x:c r="I235" s="40" t="str"/>
      <x:c r="J235" s="34" t="str">
        <x:v>A2</x:v>
      </x:c>
      <x:c r="K235" s="34" t="str">
        <x:v>1.0</x:v>
      </x:c>
      <x:c r="L235" s="35" t="str">
        <x:f>IF(AND(E235="",F235="",G235="",H235="",I235=""),"",IF(OR(AND(H235="UNCLEAR",E235="",F235="",G235="",I235&lt;&gt;""),AND(H235="LABELED",COUNTIFS(Taksonomi!$A$5:$A$13,E235,Taksonomi!$B$5:$B$13,F235)=1,OR(G235="",AND(COUNTIF(Taksonomi!$D$4:$D$6,G235)=1,G235&lt;&gt;E235)))),"OK","PERIKSA"))</x:f>
      </x:c>
    </x:row>
    <x:row r="236" ht="145" customHeight="1">
      <x:c r="A236" s="34" t="str">
        <x:v>1891429092152541595</x:v>
      </x:c>
      <x:c r="B236" s="34" t="str">
        <x:v>1891334694878519429</x:v>
      </x:c>
      <x:c r="C236"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36" s="34" t="str">
        <x:v>'@jefry_wnd Kemudian daripada itu untuk membentuk suatu pemerintahan negara indonesia yg melindungi segenap bangsa indonesia dan seluruh tumpah darah Indonesia dan untuk memajukan kesejahteraan umum,mencerdaskan kehidupan bangsa. (Pembukaan UUD 45) Ga ada makan , yg ada cerdas kan</x:v>
      </x:c>
      <x:c r="E236" s="40" t="str"/>
      <x:c r="F236" s="40" t="str"/>
      <x:c r="G236" s="40" t="str"/>
      <x:c r="H236" s="40" t="str"/>
      <x:c r="I236" s="40" t="str"/>
      <x:c r="J236" s="34" t="str">
        <x:v>A2</x:v>
      </x:c>
      <x:c r="K236" s="34" t="str">
        <x:v>1.0</x:v>
      </x:c>
      <x:c r="L236" s="35" t="str">
        <x:f>IF(AND(E236="",F236="",G236="",H236="",I236=""),"",IF(OR(AND(H236="UNCLEAR",E236="",F236="",G236="",I236&lt;&gt;""),AND(H236="LABELED",COUNTIFS(Taksonomi!$A$5:$A$13,E236,Taksonomi!$B$5:$B$13,F236)=1,OR(G236="",AND(COUNTIF(Taksonomi!$D$4:$D$6,G236)=1,G236&lt;&gt;E236)))),"OK","PERIKSA"))</x:f>
      </x:c>
    </x:row>
    <x:row r="237" ht="145" customHeight="1">
      <x:c r="A237" s="34" t="str">
        <x:v>2019636482336780469</x:v>
      </x:c>
      <x:c r="B237" s="34" t="str">
        <x:v>2019440648877658550</x:v>
      </x:c>
      <x:c r="C237" s="34" t="str">
        <x:v>Wkwkwwkwkw jabingan menu EMBEGE MODEL OPO IKI COOOOKK. Malah koyok bar jajan seko warung meduroo njirrr. SPPGne over confidence tenann bajilaaakk https://t.co/OA8zlBZtdB</x:v>
      </x:c>
      <x:c r="D237" s="34" t="str">
        <x:v>'@menuembegejelek MBG ini kapan ya di stop 🥲 jujur buang2 anggaran, alokasi dana nya gak maksimal sama sekali. Kalo kek gini penyaluran dana nya transparan apa engga ya huhu</x:v>
      </x:c>
      <x:c r="E237" s="40" t="str"/>
      <x:c r="F237" s="40" t="str"/>
      <x:c r="G237" s="40" t="str"/>
      <x:c r="H237" s="40" t="str"/>
      <x:c r="I237" s="40" t="str"/>
      <x:c r="J237" s="34" t="str">
        <x:v>A2</x:v>
      </x:c>
      <x:c r="K237" s="34" t="str">
        <x:v>1.0</x:v>
      </x:c>
      <x:c r="L237" s="35" t="str">
        <x:f>IF(AND(E237="",F237="",G237="",H237="",I237=""),"",IF(OR(AND(H237="UNCLEAR",E237="",F237="",G237="",I237&lt;&gt;""),AND(H237="LABELED",COUNTIFS(Taksonomi!$A$5:$A$13,E237,Taksonomi!$B$5:$B$13,F237)=1,OR(G237="",AND(COUNTIF(Taksonomi!$D$4:$D$6,G237)=1,G237&lt;&gt;E237)))),"OK","PERIKSA"))</x:f>
      </x:c>
    </x:row>
    <x:row r="238" ht="145" customHeight="1">
      <x:c r="A238" s="34" t="str">
        <x:v>1879897993710862433</x:v>
      </x:c>
      <x:c r="B238" s="34" t="str">
        <x:v>1879896388353315025</x:v>
      </x:c>
      <x:c r="C238" s="34" t="str">
        <x:v>Anggaran Infrastruktur Dikurangi untuk Makan Bergizi Gratis
https://t.co/POaX5lixvp</x:v>
      </x:c>
      <x:c r="D238" s="34" t="str">
        <x:v>'@tempodotco Pengurangan anggaran insfratruktur ini sdh atas persetujuan Jokowi gak? 😂</x:v>
      </x:c>
      <x:c r="E238" s="40" t="str"/>
      <x:c r="F238" s="40" t="str"/>
      <x:c r="G238" s="40" t="str"/>
      <x:c r="H238" s="40" t="str"/>
      <x:c r="I238" s="40" t="str"/>
      <x:c r="J238" s="34" t="str">
        <x:v>A2</x:v>
      </x:c>
      <x:c r="K238" s="34" t="str">
        <x:v>1.0</x:v>
      </x:c>
      <x:c r="L238" s="35" t="str">
        <x:f>IF(AND(E238="",F238="",G238="",H238="",I238=""),"",IF(OR(AND(H238="UNCLEAR",E238="",F238="",G238="",I238&lt;&gt;""),AND(H238="LABELED",COUNTIFS(Taksonomi!$A$5:$A$13,E238,Taksonomi!$B$5:$B$13,F238)=1,OR(G238="",AND(COUNTIF(Taksonomi!$D$4:$D$6,G238)=1,G238&lt;&gt;E238)))),"OK","PERIKSA"))</x:f>
      </x:c>
    </x:row>
    <x:row r="239" ht="145" customHeight="1">
      <x:c r="A239" s="34" t="str">
        <x:v>2023656331895615518</x:v>
      </x:c>
      <x:c r="B239" s="34" t="str">
        <x:v>2021780193162277104</x:v>
      </x:c>
      <x:c r="C239" s="34"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39" s="34" t="str">
        <x:v>'@regar_op0sisi @prabowo @DPR_RI Gampang banget ya kalau ngomong org DPR, giliran UU pemberantasan aset ga ada itu dibahas. MBG kan biar anak2 sekolah yang nggak mampu jangan sampe stunting. Minum susu aja belum tentu mereka, dengan MBG kebutuhan gizi mereka dipenuhin</x:v>
      </x:c>
      <x:c r="E239" s="40" t="str"/>
      <x:c r="F239" s="40" t="str"/>
      <x:c r="G239" s="40" t="str"/>
      <x:c r="H239" s="40" t="str"/>
      <x:c r="I239" s="40" t="str"/>
      <x:c r="J239" s="34" t="str">
        <x:v>A2</x:v>
      </x:c>
      <x:c r="K239" s="34" t="str">
        <x:v>1.0</x:v>
      </x:c>
      <x:c r="L239" s="35" t="str">
        <x:f>IF(AND(E239="",F239="",G239="",H239="",I239=""),"",IF(OR(AND(H239="UNCLEAR",E239="",F239="",G239="",I239&lt;&gt;""),AND(H239="LABELED",COUNTIFS(Taksonomi!$A$5:$A$13,E239,Taksonomi!$B$5:$B$13,F239)=1,OR(G239="",AND(COUNTIF(Taksonomi!$D$4:$D$6,G239)=1,G239&lt;&gt;E239)))),"OK","PERIKSA"))</x:f>
      </x:c>
    </x:row>
    <x:row r="240" ht="145" customHeight="1">
      <x:c r="A240" s="34" t="str">
        <x:v>1924678778258915516</x:v>
      </x:c>
      <x:c r="B240" s="34" t="str">
        <x:v>1924264010029154441</x:v>
      </x:c>
      <x:c r="C240" s="34" t="str">
        <x:v>makan bergizi gratis? anak teman ga mau makan dari mbg karena biasa makannhangat dan diantar ibunya dari rumah. eh ibunya dipanggil sekolah kenapa anaknya ga mau makan mbg itu. saya kira mudarat proyek politik ini.</x:v>
      </x:c>
      <x:c r="D240" s="34" t="str">
        <x:v>'@saiful_mujani Pdhl urusan prut itu mslh ortunya, bisa ditanggulangi dgn memberikan upah perkerjaan yg layak sehingga angka pengangguran menurun dan tingkat kesejahteraan naik. Hrsnya lbh memfokuskan beasiswa untuk masuk skloh gratis bgi anak kurang mampu, pembebasan spp, dan fokus ke daerah 3t</x:v>
      </x:c>
      <x:c r="E240" s="40" t="str"/>
      <x:c r="F240" s="40" t="str"/>
      <x:c r="G240" s="40" t="str"/>
      <x:c r="H240" s="40" t="str"/>
      <x:c r="I240" s="40" t="str"/>
      <x:c r="J240" s="34" t="str">
        <x:v>A2</x:v>
      </x:c>
      <x:c r="K240" s="34" t="str">
        <x:v>1.0</x:v>
      </x:c>
      <x:c r="L240" s="35" t="str">
        <x:f>IF(AND(E240="",F240="",G240="",H240="",I240=""),"",IF(OR(AND(H240="UNCLEAR",E240="",F240="",G240="",I240&lt;&gt;""),AND(H240="LABELED",COUNTIFS(Taksonomi!$A$5:$A$13,E240,Taksonomi!$B$5:$B$13,F240)=1,OR(G240="",AND(COUNTIF(Taksonomi!$D$4:$D$6,G240)=1,G240&lt;&gt;E240)))),"OK","PERIKSA"))</x:f>
      </x:c>
    </x:row>
    <x:row r="241" ht="145" customHeight="1">
      <x:c r="A241" s="34" t="str">
        <x:v>1945395596279570638</x:v>
      </x:c>
      <x:c r="B241" s="34" t="str">
        <x:v>1945282598722474369</x:v>
      </x:c>
      <x:c r="C241" s="34" t="str">
        <x:v>Sejumlah siswa berseragam putih abu-abu di Kabupaten Tuban, Jawa Timur, menemukan larva pada paket menu makan bergizi gratis (MBG) yang didistribusikan ke sekolah-sekolah.
~LL #MBG
https://t.co/zVpjMqx76X</x:v>
      </x:c>
      <x:c r="D241" s="34" t="str">
        <x:v>'@kompascom Program trilyunan, kwalitas buruk... banyak bocor...</x:v>
      </x:c>
      <x:c r="E241" s="40" t="str"/>
      <x:c r="F241" s="40" t="str"/>
      <x:c r="G241" s="40" t="str"/>
      <x:c r="H241" s="40" t="str"/>
      <x:c r="I241" s="40" t="str"/>
      <x:c r="J241" s="34" t="str">
        <x:v>A2</x:v>
      </x:c>
      <x:c r="K241" s="34" t="str">
        <x:v>1.0</x:v>
      </x:c>
      <x:c r="L241" s="35" t="str">
        <x:f>IF(AND(E241="",F241="",G241="",H241="",I241=""),"",IF(OR(AND(H241="UNCLEAR",E241="",F241="",G241="",I241&lt;&gt;""),AND(H241="LABELED",COUNTIFS(Taksonomi!$A$5:$A$13,E241,Taksonomi!$B$5:$B$13,F241)=1,OR(G241="",AND(COUNTIF(Taksonomi!$D$4:$D$6,G241)=1,G241&lt;&gt;E241)))),"OK","PERIKSA"))</x:f>
      </x:c>
    </x:row>
    <x:row r="242" ht="145" customHeight="1">
      <x:c r="A242" s="34" t="str">
        <x:v>1833695239040872483</x:v>
      </x:c>
      <x:c r="B242" s="34" t="str">
        <x:v>1833680502819299726</x:v>
      </x:c>
      <x:c r="C242" s="34" t="str">
        <x:v>Promosikan Program Makan Bergizi Gratis pada 2025, Budi Arie Anggarkan Dana Rp 10 Miliar https://t.co/GpE82pY1n6 #TempoBisnis</x:v>
      </x:c>
      <x:c r="D242" s="34" t="str">
        <x:v>'@tempodotco Kurang itu... 100 M klo promo nya mau mencapai seluruh pelosok negeri</x:v>
      </x:c>
      <x:c r="E242" s="40" t="str"/>
      <x:c r="F242" s="40" t="str"/>
      <x:c r="G242" s="40" t="str"/>
      <x:c r="H242" s="40" t="str"/>
      <x:c r="I242" s="40" t="str"/>
      <x:c r="J242" s="34" t="str">
        <x:v>A2</x:v>
      </x:c>
      <x:c r="K242" s="34" t="str">
        <x:v>1.0</x:v>
      </x:c>
      <x:c r="L242" s="35" t="str">
        <x:f>IF(AND(E242="",F242="",G242="",H242="",I242=""),"",IF(OR(AND(H242="UNCLEAR",E242="",F242="",G242="",I242&lt;&gt;""),AND(H242="LABELED",COUNTIFS(Taksonomi!$A$5:$A$13,E242,Taksonomi!$B$5:$B$13,F242)=1,OR(G242="",AND(COUNTIF(Taksonomi!$D$4:$D$6,G242)=1,G242&lt;&gt;E242)))),"OK","PERIKSA"))</x:f>
      </x:c>
    </x:row>
    <x:row r="243" ht="145" customHeight="1">
      <x:c r="A243" s="34" t="str">
        <x:v>1923089211512508727</x:v>
      </x:c>
      <x:c r="B243" s="34" t="str">
        <x:v>1922948999478378549</x:v>
      </x:c>
      <x:c r="C243"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43" s="34" t="str">
        <x:v>'@Piyusaja2 @prabowo Wo, coba renungkan diri lu deh, keknya otak lu gesrek bjir</x:v>
      </x:c>
      <x:c r="E243" s="40" t="str"/>
      <x:c r="F243" s="40" t="str"/>
      <x:c r="G243" s="40" t="str"/>
      <x:c r="H243" s="40" t="str"/>
      <x:c r="I243" s="40" t="str"/>
      <x:c r="J243" s="34" t="str">
        <x:v>A2</x:v>
      </x:c>
      <x:c r="K243" s="34" t="str">
        <x:v>1.0</x:v>
      </x:c>
      <x:c r="L243" s="35" t="str">
        <x:f>IF(AND(E243="",F243="",G243="",H243="",I243=""),"",IF(OR(AND(H243="UNCLEAR",E243="",F243="",G243="",I243&lt;&gt;""),AND(H243="LABELED",COUNTIFS(Taksonomi!$A$5:$A$13,E243,Taksonomi!$B$5:$B$13,F243)=1,OR(G243="",AND(COUNTIF(Taksonomi!$D$4:$D$6,G243)=1,G243&lt;&gt;E243)))),"OK","PERIKSA"))</x:f>
      </x:c>
    </x:row>
    <x:row r="244" ht="145" customHeight="1">
      <x:c r="A244" s="34" t="str">
        <x:v>1891384377105412340</x:v>
      </x:c>
      <x:c r="B244" s="34" t="str">
        <x:v>1891334694878519429</x:v>
      </x:c>
      <x:c r="C244" s="34" t="str">
        <x:v>Wamena, Papua 17 Feb 2025. Ribuan siswa/i melakukan demo di dpn kantor Bupati Wamena menolak program Makan Bergizi Gratis. 
“Alam telah menyediakan segalanya, kami mampu bertahan hidup tanpa ada campur tangan pemerintah, yg kami butuhkan pendidikan gratis”. Kata seorang pelajar. https://t.co/ykkzrerdRQ</x:v>
      </x:c>
      <x:c r="D244" s="34" t="str">
        <x:v>'@jefry_wnd Maafkan sobat Wamena...sudah dijawab beliau kemarin: 
Ndasmu.</x:v>
      </x:c>
      <x:c r="E244" s="40" t="str"/>
      <x:c r="F244" s="40" t="str"/>
      <x:c r="G244" s="40" t="str"/>
      <x:c r="H244" s="40" t="str"/>
      <x:c r="I244" s="40" t="str"/>
      <x:c r="J244" s="34" t="str">
        <x:v>A2</x:v>
      </x:c>
      <x:c r="K244" s="34" t="str">
        <x:v>1.0</x:v>
      </x:c>
      <x:c r="L244" s="35" t="str">
        <x:f>IF(AND(E244="",F244="",G244="",H244="",I244=""),"",IF(OR(AND(H244="UNCLEAR",E244="",F244="",G244="",I244&lt;&gt;""),AND(H244="LABELED",COUNTIFS(Taksonomi!$A$5:$A$13,E244,Taksonomi!$B$5:$B$13,F244)=1,OR(G244="",AND(COUNTIF(Taksonomi!$D$4:$D$6,G244)=1,G244&lt;&gt;E244)))),"OK","PERIKSA"))</x:f>
      </x:c>
    </x:row>
    <x:row r="245" ht="145" customHeight="1">
      <x:c r="A245" s="34" t="str">
        <x:v>1963802528556122272</x:v>
      </x:c>
      <x:c r="B245" s="34" t="str">
        <x:v>1963603951690932341</x:v>
      </x:c>
      <x:c r="C245" s="34" t="str">
        <x:v>Alih-alih menurunkan stunting dan meningkatkan gizi anak, program MBG justru mencatat lebih dari 4.000 kasus keracunan makanan hanya dalam 8 bulan pertama pelaksanaan.
Baca di sini: https://t.co/0rRlLx1DLS
~TA #MakanBergiziGratis #Keracunan https://t.co/WQGp6H5wk7</x:v>
      </x:c>
      <x:c r="D245" s="34" t="str">
        <x:v>'@kompascom MBG : program keracunan nasional</x:v>
      </x:c>
      <x:c r="E245" s="40" t="str"/>
      <x:c r="F245" s="40" t="str"/>
      <x:c r="G245" s="40" t="str"/>
      <x:c r="H245" s="40" t="str"/>
      <x:c r="I245" s="40" t="str"/>
      <x:c r="J245" s="34" t="str">
        <x:v>A2</x:v>
      </x:c>
      <x:c r="K245" s="34" t="str">
        <x:v>1.0</x:v>
      </x:c>
      <x:c r="L245" s="35" t="str">
        <x:f>IF(AND(E245="",F245="",G245="",H245="",I245=""),"",IF(OR(AND(H245="UNCLEAR",E245="",F245="",G245="",I245&lt;&gt;""),AND(H245="LABELED",COUNTIFS(Taksonomi!$A$5:$A$13,E245,Taksonomi!$B$5:$B$13,F245)=1,OR(G245="",AND(COUNTIF(Taksonomi!$D$4:$D$6,G245)=1,G245&lt;&gt;E245)))),"OK","PERIKSA"))</x:f>
      </x:c>
    </x:row>
    <x:row r="246" ht="145" customHeight="1">
      <x:c r="A246" s="34" t="str">
        <x:v>1912369412717543871</x:v>
      </x:c>
      <x:c r="B246" s="34" t="str">
        <x:v>1912349181479645350</x:v>
      </x:c>
      <x:c r="C246" s="34" t="str">
        <x:v>Salah satu dapur Makan Bergizi Gratis (MBG) di Kalibata terpaksa berhenti beroperasi sejak akhir Maret 2025.
/ #MakanBergiziGratis 
https://t.co/NX9Ab5MfIA</x:v>
      </x:c>
      <x:c r="D246" s="34" t="str">
        <x:v>'@kompascom Di daerah saya kota Salatiga  cuma satu kali  pas ada kunjungan menteri ZULHAS siswapun di minta membeli wadah tempat makan sendiri.</x:v>
      </x:c>
      <x:c r="E246" s="40" t="str"/>
      <x:c r="F246" s="40" t="str"/>
      <x:c r="G246" s="40" t="str"/>
      <x:c r="H246" s="40" t="str"/>
      <x:c r="I246" s="40" t="str"/>
      <x:c r="J246" s="34" t="str">
        <x:v>A2</x:v>
      </x:c>
      <x:c r="K246" s="34" t="str">
        <x:v>1.0</x:v>
      </x:c>
      <x:c r="L246" s="35" t="str">
        <x:f>IF(AND(E246="",F246="",G246="",H246="",I246=""),"",IF(OR(AND(H246="UNCLEAR",E246="",F246="",G246="",I246&lt;&gt;""),AND(H246="LABELED",COUNTIFS(Taksonomi!$A$5:$A$13,E246,Taksonomi!$B$5:$B$13,F246)=1,OR(G246="",AND(COUNTIF(Taksonomi!$D$4:$D$6,G246)=1,G246&lt;&gt;E246)))),"OK","PERIKSA"))</x:f>
      </x:c>
    </x:row>
    <x:row r="247" ht="145" customHeight="1">
      <x:c r="A247" s="34" t="str">
        <x:v>2022378928607047871</x:v>
      </x:c>
      <x:c r="B247" s="34" t="str">
        <x:v>2021930606360506488</x:v>
      </x:c>
      <x:c r="C247" s="34" t="str">
        <x:v>⚠️ // LAGI-LAGI ANOMALI MENU EMBEGE KERING UNTUK BALITA, BUMIL, BUSUI!!!
Ternyata "sesuatu" yang menguji kesabaran kami tidak muncul pada Ramadhan nanti, ia sudah lama muncul dan jelas ini membuat kami maraaahhh🫵🏻🤬😡😡
Izin bertanya ke ahli gizi yang melihat unggahan ini, bagaimana pendapat kalian tentang menu-menu ini?? Konflik apa yang sebetulnya terjadi di belakang sehingga tercetus menu-menu seperti ini?? Ini arahan dari mana??</x:v>
      </x:c>
      <x:c r="D247" s="34" t="str">
        <x:v>'@menuembegejelek Ini gak ada yang audit dapur SPPG MBG ? Wah gila sih lama-lama. 
Mendingan dikasih uang saku aja gak sih ? Dengan model tiap bulan di transfer ke rekening, daripada dapetnya menu gajelas gini</x:v>
      </x:c>
      <x:c r="E247" s="40" t="str"/>
      <x:c r="F247" s="40" t="str"/>
      <x:c r="G247" s="40" t="str"/>
      <x:c r="H247" s="40" t="str"/>
      <x:c r="I247" s="40" t="str"/>
      <x:c r="J247" s="34" t="str">
        <x:v>A2</x:v>
      </x:c>
      <x:c r="K247" s="34" t="str">
        <x:v>1.0</x:v>
      </x:c>
      <x:c r="L247" s="35" t="str">
        <x:f>IF(AND(E247="",F247="",G247="",H247="",I247=""),"",IF(OR(AND(H247="UNCLEAR",E247="",F247="",G247="",I247&lt;&gt;""),AND(H247="LABELED",COUNTIFS(Taksonomi!$A$5:$A$13,E247,Taksonomi!$B$5:$B$13,F247)=1,OR(G247="",AND(COUNTIF(Taksonomi!$D$4:$D$6,G247)=1,G247&lt;&gt;E247)))),"OK","PERIKSA"))</x:f>
      </x:c>
    </x:row>
    <x:row r="248" ht="145" customHeight="1">
      <x:c r="A248" s="34" t="str">
        <x:v>2025723030039842844</x:v>
      </x:c>
      <x:c r="B248" s="34" t="str">
        <x:v>2025529318089412646</x:v>
      </x:c>
      <x:c r="C248" s="34" t="str">
        <x:v>Lah, berarti, jangan-jangan proyek embege juga hasil dari konsultasi dengan zionist tengik juga. Si anjing. 🙂</x:v>
      </x:c>
      <x:c r="D248" s="34" t="str">
        <x:v>'@menuembegejelek Kan udah dibilang sama mas2 bem itu, "maling berkedok gizi"</x:v>
      </x:c>
      <x:c r="E248" s="40" t="str"/>
      <x:c r="F248" s="40" t="str"/>
      <x:c r="G248" s="40" t="str"/>
      <x:c r="H248" s="40" t="str"/>
      <x:c r="I248" s="40" t="str"/>
      <x:c r="J248" s="34" t="str">
        <x:v>A2</x:v>
      </x:c>
      <x:c r="K248" s="34" t="str">
        <x:v>1.0</x:v>
      </x:c>
      <x:c r="L248" s="35" t="str">
        <x:f>IF(AND(E248="",F248="",G248="",H248="",I248=""),"",IF(OR(AND(H248="UNCLEAR",E248="",F248="",G248="",I248&lt;&gt;""),AND(H248="LABELED",COUNTIFS(Taksonomi!$A$5:$A$13,E248,Taksonomi!$B$5:$B$13,F248)=1,OR(G248="",AND(COUNTIF(Taksonomi!$D$4:$D$6,G248)=1,G248&lt;&gt;E248)))),"OK","PERIKSA"))</x:f>
      </x:c>
    </x:row>
    <x:row r="249" ht="145" customHeight="1">
      <x:c r="A249" s="34" t="str">
        <x:v>2023654782972649490</x:v>
      </x:c>
      <x:c r="B249" s="34" t="str">
        <x:v>2021780193162277104</x:v>
      </x:c>
      <x:c r="C249" s="34" t="str">
        <x:v>Hentikan program MBG sekarang juga.
Utamakan keselamatan anak daripada ambisi politik dan target program. 
Oleh karena kepala BGN berada dibawah presiden maka presiden Prabowo harus bertanggungjawab atas semua kasus keracunan akibat MBG.
@prabowo 
@DPR_RI https://t.co/IBZR6ng23B</x:v>
      </x:c>
      <x:c r="D249" s="34" t="str">
        <x:v>'@regar_op0sisi @prabowo @DPR_RI Kalo di kampung, mbg tuh pada seneng orang pada dapet kerjaan, bocil bocil juga pada happy dapet makanan. Kalo eval sistem mah itu jelas sppg saling bersaing supaya ga bikin kesalahan. Kalo bikin kesalahan juga dapet skors diliburkan tuh sppg jadi rugi mereka kalo diliburin</x:v>
      </x:c>
      <x:c r="E249" s="40" t="str"/>
      <x:c r="F249" s="40" t="str"/>
      <x:c r="G249" s="40" t="str"/>
      <x:c r="H249" s="40" t="str"/>
      <x:c r="I249" s="40" t="str"/>
      <x:c r="J249" s="34" t="str">
        <x:v>A2</x:v>
      </x:c>
      <x:c r="K249" s="34" t="str">
        <x:v>1.0</x:v>
      </x:c>
      <x:c r="L249" s="35" t="str">
        <x:f>IF(AND(E249="",F249="",G249="",H249="",I249=""),"",IF(OR(AND(H249="UNCLEAR",E249="",F249="",G249="",I249&lt;&gt;""),AND(H249="LABELED",COUNTIFS(Taksonomi!$A$5:$A$13,E249,Taksonomi!$B$5:$B$13,F249)=1,OR(G249="",AND(COUNTIF(Taksonomi!$D$4:$D$6,G249)=1,G249&lt;&gt;E249)))),"OK","PERIKSA"))</x:f>
      </x:c>
    </x:row>
    <x:row r="250" ht="145" customHeight="1">
      <x:c r="A250" s="34" t="str">
        <x:v>1893969469749563522</x:v>
      </x:c>
      <x:c r="B250" s="34" t="str">
        <x:v>1893915755403460863</x:v>
      </x:c>
      <x:c r="C250" s="34" t="str">
        <x:v>Solidaritas pelajar Paniai.
Papua.
Tolak.#MBG,kami minta pendidikan
Gratis. https://t.co/5nHldObPST</x:v>
      </x:c>
      <x:c r="D250" s="34" t="str">
        <x:v>'@albert_morafia Keren ya pelajar Papua, lebih mengerti kebutuhan dasarnya dari pada pemerintahan yg stroke, bocor...bocor...bocor...
Tidak semua pelajar butuh MBG, seharusnya membuat kebijakan dengan pengecualian, contoh nyata pelajar Paniai, mereka lebih butuh pendidikan gratis</x:v>
      </x:c>
      <x:c r="E250" s="40" t="str"/>
      <x:c r="F250" s="40" t="str"/>
      <x:c r="G250" s="40" t="str"/>
      <x:c r="H250" s="40" t="str"/>
      <x:c r="I250" s="40" t="str"/>
      <x:c r="J250" s="34" t="str">
        <x:v>A2</x:v>
      </x:c>
      <x:c r="K250" s="34" t="str">
        <x:v>1.0</x:v>
      </x:c>
      <x:c r="L250" s="35" t="str">
        <x:f>IF(AND(E250="",F250="",G250="",H250="",I250=""),"",IF(OR(AND(H250="UNCLEAR",E250="",F250="",G250="",I250&lt;&gt;""),AND(H250="LABELED",COUNTIFS(Taksonomi!$A$5:$A$13,E250,Taksonomi!$B$5:$B$13,F250)=1,OR(G250="",AND(COUNTIF(Taksonomi!$D$4:$D$6,G250)=1,G250&lt;&gt;E250)))),"OK","PERIKSA"))</x:f>
      </x:c>
    </x:row>
    <x:row r="251" ht="145" customHeight="1">
      <x:c r="A251" s="34" t="str">
        <x:v>1876146440168460637</x:v>
      </x:c>
      <x:c r="B251" s="34" t="str">
        <x:v>1876127805462696292</x:v>
      </x:c>
      <x:c r="C251" s="34" t="str">
        <x:v>Budi Arie Tinjau Dapur Makan Bergizi Gratis: Ada Ayam Teriyaki, Baunya Enak
https://t.co/N1MkDDljn9</x:v>
      </x:c>
      <x:c r="D251" s="34" t="str">
        <x:v>'@tempodotco Nanti klo yg lain makananya cuma kangkung sama telor rebus tolong diliput juga ya, jangan yg bagus2nya doang</x:v>
      </x:c>
      <x:c r="E251" s="40" t="str"/>
      <x:c r="F251" s="40" t="str"/>
      <x:c r="G251" s="40" t="str"/>
      <x:c r="H251" s="40" t="str"/>
      <x:c r="I251" s="40" t="str"/>
      <x:c r="J251" s="34" t="str">
        <x:v>A2</x:v>
      </x:c>
      <x:c r="K251" s="34" t="str">
        <x:v>1.0</x:v>
      </x:c>
      <x:c r="L251" s="35" t="str">
        <x:f>IF(AND(E251="",F251="",G251="",H251="",I251=""),"",IF(OR(AND(H251="UNCLEAR",E251="",F251="",G251="",I251&lt;&gt;""),AND(H251="LABELED",COUNTIFS(Taksonomi!$A$5:$A$13,E251,Taksonomi!$B$5:$B$13,F251)=1,OR(G251="",AND(COUNTIF(Taksonomi!$D$4:$D$6,G251)=1,G251&lt;&gt;E251)))),"OK","PERIKSA"))</x:f>
      </x:c>
    </x:row>
    <x:row r="252" ht="145" customHeight="1">
      <x:c r="A252" s="34" t="str">
        <x:v>1879913279851794628</x:v>
      </x:c>
      <x:c r="B252" s="34" t="str">
        <x:v>1879834257763504402</x:v>
      </x:c>
      <x:c r="C252" s="34" t="str">
        <x:v>Hari Keempat MBG di Palangka Raya, Siswa Keluhkan Ayam Berbau Amis hingga Pisang Busuk | #MakanBergiziGratis #PalangkaRaya 
https://t.co/CYqUrS6WPs</x:v>
      </x:c>
      <x:c r="D252" s="34" t="str">
        <x:v>'@kompascom Resiko keracunan ini pasti gede coy,soalnya anggaran minim,vendor2 pasti muter otak biar cuan gede..salah satunya cari basian atau ayam tiren🤣🤣🤣</x:v>
      </x:c>
      <x:c r="E252" s="40" t="str"/>
      <x:c r="F252" s="40" t="str"/>
      <x:c r="G252" s="40" t="str"/>
      <x:c r="H252" s="40" t="str"/>
      <x:c r="I252" s="40" t="str"/>
      <x:c r="J252" s="34" t="str">
        <x:v>A2</x:v>
      </x:c>
      <x:c r="K252" s="34" t="str">
        <x:v>1.0</x:v>
      </x:c>
      <x:c r="L252" s="35" t="str">
        <x:f>IF(AND(E252="",F252="",G252="",H252="",I252=""),"",IF(OR(AND(H252="UNCLEAR",E252="",F252="",G252="",I252&lt;&gt;""),AND(H252="LABELED",COUNTIFS(Taksonomi!$A$5:$A$13,E252,Taksonomi!$B$5:$B$13,F252)=1,OR(G252="",AND(COUNTIF(Taksonomi!$D$4:$D$6,G252)=1,G252&lt;&gt;E252)))),"OK","PERIKSA"))</x:f>
      </x:c>
    </x:row>
    <x:row r="253" ht="145" customHeight="1">
      <x:c r="A253" s="34" t="str">
        <x:v>1915036795609469011</x:v>
      </x:c>
      <x:c r="B253" s="34" t="str">
        <x:v>1914987076363452886</x:v>
      </x:c>
      <x:c r="C253" s="34" t="str">
        <x:v>Prabowo Belum Buka Kesempatan Negara Lain Pelajari Makan Bergizi Gratis
https://t.co/zlhnOO0TT0</x:v>
      </x:c>
      <x:c r="D253" s="34" t="str">
        <x:v>'@tempodotco Kekeuh banget ya, sudah tau programnya bermasalah, rawan penyimpangan, korupsi. Masih keras kepala aja seolah-olah programnya sukses, udah tau kasus keracunan dimana-mana. Jadi pengen teriak NDASMU, *dengan lemah lembut.</x:v>
      </x:c>
      <x:c r="E253" s="40" t="str"/>
      <x:c r="F253" s="40" t="str"/>
      <x:c r="G253" s="40" t="str"/>
      <x:c r="H253" s="40" t="str"/>
      <x:c r="I253" s="40" t="str"/>
      <x:c r="J253" s="34" t="str">
        <x:v>A2</x:v>
      </x:c>
      <x:c r="K253" s="34" t="str">
        <x:v>1.0</x:v>
      </x:c>
      <x:c r="L253" s="35" t="str">
        <x:f>IF(AND(E253="",F253="",G253="",H253="",I253=""),"",IF(OR(AND(H253="UNCLEAR",E253="",F253="",G253="",I253&lt;&gt;""),AND(H253="LABELED",COUNTIFS(Taksonomi!$A$5:$A$13,E253,Taksonomi!$B$5:$B$13,F253)=1,OR(G253="",AND(COUNTIF(Taksonomi!$D$4:$D$6,G253)=1,G253&lt;&gt;E253)))),"OK","PERIKSA"))</x:f>
      </x:c>
    </x:row>
    <x:row r="254" ht="145" customHeight="1">
      <x:c r="A254" s="34" t="str">
        <x:v>2024364701539590250</x:v>
      </x:c>
      <x:c r="B254" s="34" t="str">
        <x:v>2024359625244774442</x:v>
      </x:c>
      <x:c r="C254"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54" s="34" t="str">
        <x:v>'@menuembegejelek Kesel banget liat anak kecil di kemasan ituu, ngejekin yaa 😒</x:v>
      </x:c>
      <x:c r="E254" s="40" t="str"/>
      <x:c r="F254" s="40" t="str"/>
      <x:c r="G254" s="40" t="str"/>
      <x:c r="H254" s="40" t="str"/>
      <x:c r="I254" s="40" t="str"/>
      <x:c r="J254" s="34" t="str">
        <x:v>A2</x:v>
      </x:c>
      <x:c r="K254" s="34" t="str">
        <x:v>1.0</x:v>
      </x:c>
      <x:c r="L254" s="35" t="str">
        <x:f>IF(AND(E254="",F254="",G254="",H254="",I254=""),"",IF(OR(AND(H254="UNCLEAR",E254="",F254="",G254="",I254&lt;&gt;""),AND(H254="LABELED",COUNTIFS(Taksonomi!$A$5:$A$13,E254,Taksonomi!$B$5:$B$13,F254)=1,OR(G254="",AND(COUNTIF(Taksonomi!$D$4:$D$6,G254)=1,G254&lt;&gt;E254)))),"OK","PERIKSA"))</x:f>
      </x:c>
    </x:row>
    <x:row r="255" ht="145" customHeight="1">
      <x:c r="A255" s="34" t="str">
        <x:v>1903272624266035531</x:v>
      </x:c>
      <x:c r="B255" s="34" t="str">
        <x:v>1903051462932054438</x:v>
      </x:c>
      <x:c r="C255" s="34" t="str">
        <x:v>Presiden Republik Indonesia, Prabowo Subianto mengaku banyak negara yang ingin belajar menjalankan program Makan Bergizi Gratis (MBG) dari Indonesia.
Pernyataan tersebut disampaikan Presiden Prabowo dalam sidang kabinet paripurna di Kantor Presiden, Jumat (21/3).
“Banyak kunjungan pimpinan-pimpinan negara lain, mereka bilang salah satu yang mereka ingin belajar dari kita adalah makan bergizi. Padahal kita baru mulai,” ujar Prabowo.
#TirtoDaily</x:v>
      </x:c>
      <x:c r="D255" s="34" t="str">
        <x:v>Klaim "banyak negara belajar MBG dari Indonesia" adalah narasi yang mengaburkan fakta. Data FAO menunjukkan 72 negara sudah menjalankan program serupa selama 30+ tahun dengan cakupan 80-98%. Finlandia (1948), Brazil (1955), Chile (1964) justru bisa jadi mentori kita. MBG kita baru mencapai 1,2% dari target dan masih dihantui masalah distribusi.</x:v>
      </x:c>
      <x:c r="E255" s="40" t="str"/>
      <x:c r="F255" s="40" t="str"/>
      <x:c r="G255" s="40" t="str"/>
      <x:c r="H255" s="40" t="str"/>
      <x:c r="I255" s="40" t="str"/>
      <x:c r="J255" s="34" t="str">
        <x:v>A2</x:v>
      </x:c>
      <x:c r="K255" s="34" t="str">
        <x:v>1.0</x:v>
      </x:c>
      <x:c r="L255" s="35" t="str">
        <x:f>IF(AND(E255="",F255="",G255="",H255="",I255=""),"",IF(OR(AND(H255="UNCLEAR",E255="",F255="",G255="",I255&lt;&gt;""),AND(H255="LABELED",COUNTIFS(Taksonomi!$A$5:$A$13,E255,Taksonomi!$B$5:$B$13,F255)=1,OR(G255="",AND(COUNTIF(Taksonomi!$D$4:$D$6,G255)=1,G255&lt;&gt;E255)))),"OK","PERIKSA"))</x:f>
      </x:c>
    </x:row>
    <x:row r="256" ht="145" customHeight="1">
      <x:c r="A256" s="34" t="str">
        <x:v>2010891270898795002</x:v>
      </x:c>
      <x:c r="B256" s="34" t="str">
        <x:v>2010715973024944405</x:v>
      </x:c>
      <x:c r="C256" s="34" t="str">
        <x:v>Dinas Kesehatan Kabupaten Grobogan, Jawa Tengah, melaporkan sebanyak 658 orang diduga mengalami keracunan setelah menyantap menu makan bergizi gratis. Para korban berasal dari sejumlah sekolah dan satuan pendidikan di Kecamatan Gubug.
#tempodotco #TUpdate #MBG https://t.co/U4RK11UyJl</x:v>
      </x:c>
      <x:c r="D256" s="34" t="str">
        <x:v>'@tempodotco hati-hati dgn kata-katamu bgn, diakhirat kamu yg diminta pertanggung jawaban. https://t.co/bLDSikxaBk</x:v>
      </x:c>
      <x:c r="E256" s="40" t="str"/>
      <x:c r="F256" s="40" t="str"/>
      <x:c r="G256" s="40" t="str"/>
      <x:c r="H256" s="40" t="str"/>
      <x:c r="I256" s="40" t="str"/>
      <x:c r="J256" s="34" t="str">
        <x:v>A2</x:v>
      </x:c>
      <x:c r="K256" s="34" t="str">
        <x:v>1.0</x:v>
      </x:c>
      <x:c r="L256" s="35" t="str">
        <x:f>IF(AND(E256="",F256="",G256="",H256="",I256=""),"",IF(OR(AND(H256="UNCLEAR",E256="",F256="",G256="",I256&lt;&gt;""),AND(H256="LABELED",COUNTIFS(Taksonomi!$A$5:$A$13,E256,Taksonomi!$B$5:$B$13,F256)=1,OR(G256="",AND(COUNTIF(Taksonomi!$D$4:$D$6,G256)=1,G256&lt;&gt;E256)))),"OK","PERIKSA"))</x:f>
      </x:c>
    </x:row>
    <x:row r="257" ht="145" customHeight="1">
      <x:c r="A257" s="34" t="str">
        <x:v>1880518411689869442</x:v>
      </x:c>
      <x:c r="B257" s="34" t="str">
        <x:v>1879445721478525034</x:v>
      </x:c>
      <x:c r="C257" s="34" t="str">
        <x:v>Baiq Silawati, jurnalis perempuan di Lombok Timur, dipaksa HAPUS REKAMAN VIDEO saat meliput dapur program Makan Bergizi Gratis! 
APA ALASANNYA?
#LombokTimur #MakanBergiziGratis #AgamawanSalam https://t.co/piMQ1Ww7Vg</x:v>
      </x:c>
      <x:c r="D257" s="34" t="str">
        <x:v>'@detikbali__ Takut terindikasi mark-up anggaran</x:v>
      </x:c>
      <x:c r="E257" s="40" t="str"/>
      <x:c r="F257" s="40" t="str"/>
      <x:c r="G257" s="40" t="str"/>
      <x:c r="H257" s="40" t="str"/>
      <x:c r="I257" s="40" t="str"/>
      <x:c r="J257" s="34" t="str">
        <x:v>A2</x:v>
      </x:c>
      <x:c r="K257" s="34" t="str">
        <x:v>1.0</x:v>
      </x:c>
      <x:c r="L257" s="35" t="str">
        <x:f>IF(AND(E257="",F257="",G257="",H257="",I257=""),"",IF(OR(AND(H257="UNCLEAR",E257="",F257="",G257="",I257&lt;&gt;""),AND(H257="LABELED",COUNTIFS(Taksonomi!$A$5:$A$13,E257,Taksonomi!$B$5:$B$13,F257)=1,OR(G257="",AND(COUNTIF(Taksonomi!$D$4:$D$6,G257)=1,G257&lt;&gt;E257)))),"OK","PERIKSA"))</x:f>
      </x:c>
    </x:row>
    <x:row r="258" ht="145" customHeight="1">
      <x:c r="A258" s="34" t="str">
        <x:v>1863706766451806559</x:v>
      </x:c>
      <x:c r="B258" s="34" t="str">
        <x:v>1863468780275601720</x:v>
      </x:c>
      <x:c r="C258" s="34" t="str">
        <x:v>Anggaran Makan Bergizi Gratis Menciut Jadi Rp 10.000, Ini Versi Warteg Menu Nasi Rp 10.000
📸Tempo/Subekti
#TempoFoto https://t.co/4fQsCMAiVB</x:v>
      </x:c>
      <x:c r="D258" s="34" t="str">
        <x:v>'@tempodotco Kalau gitu projectnya kasih ke pemilik Nasi Padang paket hemat aja</x:v>
      </x:c>
      <x:c r="E258" s="40" t="str"/>
      <x:c r="F258" s="40" t="str"/>
      <x:c r="G258" s="40" t="str"/>
      <x:c r="H258" s="40" t="str"/>
      <x:c r="I258" s="40" t="str"/>
      <x:c r="J258" s="34" t="str">
        <x:v>A2</x:v>
      </x:c>
      <x:c r="K258" s="34" t="str">
        <x:v>1.0</x:v>
      </x:c>
      <x:c r="L258" s="35" t="str">
        <x:f>IF(AND(E258="",F258="",G258="",H258="",I258=""),"",IF(OR(AND(H258="UNCLEAR",E258="",F258="",G258="",I258&lt;&gt;""),AND(H258="LABELED",COUNTIFS(Taksonomi!$A$5:$A$13,E258,Taksonomi!$B$5:$B$13,F258)=1,OR(G258="",AND(COUNTIF(Taksonomi!$D$4:$D$6,G258)=1,G258&lt;&gt;E258)))),"OK","PERIKSA"))</x:f>
      </x:c>
    </x:row>
    <x:row r="259" ht="145" customHeight="1">
      <x:c r="A259" s="34" t="str">
        <x:v>1798166996150018461</x:v>
      </x:c>
      <x:c r="B259" s="34" t="str">
        <x:v>1798144099419406550</x:v>
      </x:c>
      <x:c r="C259" s="34" t="str">
        <x:v>Sri Mulyani Dukung Program Makan Bergizi Gratis Prabowo: Untuk Perbaikan Sumber Daya Manusia https://t.co/3Rx5ibLX6o #TempoBisnis</x:v>
      </x:c>
      <x:c r="D259" s="34" t="str">
        <x:v>'@tempodotco Makan bergizi tak perlu lewat pemerintah yg dibutuhkan rakyat biaya pendidikan gratis hingga kuliah dan sembako murah</x:v>
      </x:c>
      <x:c r="E259" s="40" t="str"/>
      <x:c r="F259" s="40" t="str"/>
      <x:c r="G259" s="40" t="str"/>
      <x:c r="H259" s="40" t="str"/>
      <x:c r="I259" s="40" t="str"/>
      <x:c r="J259" s="34" t="str">
        <x:v>A2</x:v>
      </x:c>
      <x:c r="K259" s="34" t="str">
        <x:v>1.0</x:v>
      </x:c>
      <x:c r="L259" s="35" t="str">
        <x:f>IF(AND(E259="",F259="",G259="",H259="",I259=""),"",IF(OR(AND(H259="UNCLEAR",E259="",F259="",G259="",I259&lt;&gt;""),AND(H259="LABELED",COUNTIFS(Taksonomi!$A$5:$A$13,E259,Taksonomi!$B$5:$B$13,F259)=1,OR(G259="",AND(COUNTIF(Taksonomi!$D$4:$D$6,G259)=1,G259&lt;&gt;E259)))),"OK","PERIKSA"))</x:f>
      </x:c>
    </x:row>
    <x:row r="260" ht="145" customHeight="1">
      <x:c r="A260" s="34" t="str">
        <x:v>1972357353250120095</x:v>
      </x:c>
      <x:c r="B260" s="34" t="str">
        <x:v>1972175293734645911</x:v>
      </x:c>
      <x:c r="C260" s="34" t="str">
        <x:v>Min @hrdbacot @ecommurz @ainunnajib @CNNIndonesia @CNNIDdaily https://t.co/vHRHV0zPNs</x:v>
      </x:c>
      <x:c r="D260" s="34" t="str">
        <x:v>'@windumuktiw @hrdbacot @ecommurz @ainunnajib @CNNIndonesia @CNNIDdaily Beliau ini paket lengkap, sih. Mau disebut penjahat cocok, tirani cocok, fasis cocok, skizo jg cocok. Kelamaan hidup di echo chamber pula. Duh, 5 tahun lama benerrrr 😌</x:v>
      </x:c>
      <x:c r="E260" s="40" t="str"/>
      <x:c r="F260" s="40" t="str"/>
      <x:c r="G260" s="40" t="str"/>
      <x:c r="H260" s="40" t="str"/>
      <x:c r="I260" s="40" t="str"/>
      <x:c r="J260" s="34" t="str">
        <x:v>A2</x:v>
      </x:c>
      <x:c r="K260" s="34" t="str">
        <x:v>1.0</x:v>
      </x:c>
      <x:c r="L260" s="35" t="str">
        <x:f>IF(AND(E260="",F260="",G260="",H260="",I260=""),"",IF(OR(AND(H260="UNCLEAR",E260="",F260="",G260="",I260&lt;&gt;""),AND(H260="LABELED",COUNTIFS(Taksonomi!$A$5:$A$13,E260,Taksonomi!$B$5:$B$13,F260)=1,OR(G260="",AND(COUNTIF(Taksonomi!$D$4:$D$6,G260)=1,G260&lt;&gt;E260)))),"OK","PERIKSA"))</x:f>
      </x:c>
    </x:row>
    <x:row r="261" ht="145" customHeight="1">
      <x:c r="A261" s="34" t="str">
        <x:v>2023265780130046125</x:v>
      </x:c>
      <x:c r="B261" s="34" t="str">
        <x:v>2022994964255486420</x:v>
      </x:c>
      <x:c r="C261" s="34" t="str">
        <x:v>"Embege harus dikatakan berhasil meskipun saya menerima 28.000 laporan kasus keracunan."
— Si Gendut, di atas podium.
Berkat pernyataan sikap di atas, suatu hari di 'kubangan lumpur' yang orang awam biasa sebut sebagai SPPG:
👧🏻: "Eh mas, ayam dari suplier Z kok agak bau bacin ya? Ga sedep. Tumben."
🧒🏻: "Oiya? Alah, gapapa. Dimasak aja."
👧🏻: "Hah? Ya jangan dong, resiko nanti."
🧒🏻: "Lha udah jam segini, mau nyari pengganti di mana lagi?? Masa kita ga jadi ngasih ayam. Malu lah, udah di-broadcast ke penerima manfaat juga."
👧🏻: "Ya iya sih. Udah ga ada alternatif:("
🧒🏻: "Nah, makanya itu."
👧🏻: "Kalo yang makan pada keracunan gimana?:("
🧒🏻: "Gapapa. Denger noh kata presiden. Aman kita. Ga bakalan diapa-apain."
👧🏻: "Ok:("</x:v>
      </x:c>
      <x:c r="D261" s="34" t="str">
        <x:v>'@menuembegejelek dia mana peduli soal kasus keracunan,klopun smpe kematian palingan dibilang karena riwayat penyakit.di gendut gak mau dibilang program nya gagal</x:v>
      </x:c>
      <x:c r="E261" s="40" t="str"/>
      <x:c r="F261" s="40" t="str"/>
      <x:c r="G261" s="40" t="str"/>
      <x:c r="H261" s="40" t="str"/>
      <x:c r="I261" s="40" t="str"/>
      <x:c r="J261" s="34" t="str">
        <x:v>A2</x:v>
      </x:c>
      <x:c r="K261" s="34" t="str">
        <x:v>1.0</x:v>
      </x:c>
      <x:c r="L261" s="35" t="str">
        <x:f>IF(AND(E261="",F261="",G261="",H261="",I261=""),"",IF(OR(AND(H261="UNCLEAR",E261="",F261="",G261="",I261&lt;&gt;""),AND(H261="LABELED",COUNTIFS(Taksonomi!$A$5:$A$13,E261,Taksonomi!$B$5:$B$13,F261)=1,OR(G261="",AND(COUNTIF(Taksonomi!$D$4:$D$6,G261)=1,G261&lt;&gt;E261)))),"OK","PERIKSA"))</x:f>
      </x:c>
    </x:row>
    <x:row r="262" ht="145" customHeight="1">
      <x:c r="A262" s="34" t="str">
        <x:v>1912351105398300713</x:v>
      </x:c>
      <x:c r="B262" s="34" t="str">
        <x:v>1912349181479645350</x:v>
      </x:c>
      <x:c r="C262" s="34" t="str">
        <x:v>Salah satu dapur Makan Bergizi Gratis (MBG) di Kalibata terpaksa berhenti beroperasi sejak akhir Maret 2025.
/ #MakanBergiziGratis 
https://t.co/NX9Ab5MfIA</x:v>
      </x:c>
      <x:c r="D262" s="34" t="str">
        <x:v>'@kompascom amsyong... kena racun omon2... cuma bisa joged2 sekarang...</x:v>
      </x:c>
      <x:c r="E262" s="40" t="str"/>
      <x:c r="F262" s="40" t="str"/>
      <x:c r="G262" s="40" t="str"/>
      <x:c r="H262" s="40" t="str"/>
      <x:c r="I262" s="40" t="str"/>
      <x:c r="J262" s="34" t="str">
        <x:v>A2</x:v>
      </x:c>
      <x:c r="K262" s="34" t="str">
        <x:v>1.0</x:v>
      </x:c>
      <x:c r="L262" s="35" t="str">
        <x:f>IF(AND(E262="",F262="",G262="",H262="",I262=""),"",IF(OR(AND(H262="UNCLEAR",E262="",F262="",G262="",I262&lt;&gt;""),AND(H262="LABELED",COUNTIFS(Taksonomi!$A$5:$A$13,E262,Taksonomi!$B$5:$B$13,F262)=1,OR(G262="",AND(COUNTIF(Taksonomi!$D$4:$D$6,G262)=1,G262&lt;&gt;E262)))),"OK","PERIKSA"))</x:f>
      </x:c>
    </x:row>
    <x:row r="263" ht="145" customHeight="1">
      <x:c r="A263" s="34" t="str">
        <x:v>1919987504192565569</x:v>
      </x:c>
      <x:c r="B263" s="34" t="str">
        <x:v>1919676005943542260</x:v>
      </x:c>
      <x:c r="C263" s="34" t="str">
        <x:v>Prabowo Mengaku Bill Gates Tertarik dengan Makan Bergizi Gratis
https://t.co/m4wfVoq03k</x:v>
      </x:c>
      <x:c r="D263" s="34" t="str">
        <x:v>'@tempodotco Gizi gk seberapa, racun nya gk kira-kira</x:v>
      </x:c>
      <x:c r="E263" s="40" t="str"/>
      <x:c r="F263" s="40" t="str"/>
      <x:c r="G263" s="40" t="str"/>
      <x:c r="H263" s="40" t="str"/>
      <x:c r="I263" s="40" t="str"/>
      <x:c r="J263" s="34" t="str">
        <x:v>A2</x:v>
      </x:c>
      <x:c r="K263" s="34" t="str">
        <x:v>1.0</x:v>
      </x:c>
      <x:c r="L263" s="35" t="str">
        <x:f>IF(AND(E263="",F263="",G263="",H263="",I263=""),"",IF(OR(AND(H263="UNCLEAR",E263="",F263="",G263="",I263&lt;&gt;""),AND(H263="LABELED",COUNTIFS(Taksonomi!$A$5:$A$13,E263,Taksonomi!$B$5:$B$13,F263)=1,OR(G263="",AND(COUNTIF(Taksonomi!$D$4:$D$6,G263)=1,G263&lt;&gt;E263)))),"OK","PERIKSA"))</x:f>
      </x:c>
    </x:row>
    <x:row r="264" ht="145" customHeight="1">
      <x:c r="A264" s="34" t="str">
        <x:v>1922507012748800337</x:v>
      </x:c>
      <x:c r="B264" s="34" t="str">
        <x:v>1922428201504026792</x:v>
      </x:c>
      <x:c r="C264" s="34" t="str">
        <x:v>Diare hingga Tubuh Membiru, Gejala Korban Keracunan MBG di Bogor | #Keracunan #MakanBergiziGratis #Bogor #vjlab https://t.co/tiTaeffVjY</x:v>
      </x:c>
      <x:c r="D264" s="34" t="str">
        <x:v>'@kompascom Selama korupsi masih menjadi bagian dari negeri konoha jangan harap program yg baik dapat berjalan dengan baik, apalagi celah korupnya tinggi.</x:v>
      </x:c>
      <x:c r="E264" s="40" t="str"/>
      <x:c r="F264" s="40" t="str"/>
      <x:c r="G264" s="40" t="str"/>
      <x:c r="H264" s="40" t="str"/>
      <x:c r="I264" s="40" t="str"/>
      <x:c r="J264" s="34" t="str">
        <x:v>A2</x:v>
      </x:c>
      <x:c r="K264" s="34" t="str">
        <x:v>1.0</x:v>
      </x:c>
      <x:c r="L264" s="35" t="str">
        <x:f>IF(AND(E264="",F264="",G264="",H264="",I264=""),"",IF(OR(AND(H264="UNCLEAR",E264="",F264="",G264="",I264&lt;&gt;""),AND(H264="LABELED",COUNTIFS(Taksonomi!$A$5:$A$13,E264,Taksonomi!$B$5:$B$13,F264)=1,OR(G264="",AND(COUNTIF(Taksonomi!$D$4:$D$6,G264)=1,G264&lt;&gt;E264)))),"OK","PERIKSA"))</x:f>
      </x:c>
    </x:row>
    <x:row r="265" ht="145" customHeight="1">
      <x:c r="A265" s="34" t="str">
        <x:v>1983874753061646365</x:v>
      </x:c>
      <x:c r="B265" s="34" t="str">
        <x:v>1983782683139567977</x:v>
      </x:c>
      <x:c r="C265" s="34" t="str">
        <x:v>Jumlah korban pada hari ketiga pasca-peristiwa keracunan menu Makan Bergizi Gratis (MBG) di Desa Cibodas, Kecamatan Lembang, Kabupaten Bandung Barat (KBB), Jawa Barat, tembus 230 orang.
Selengkapnya baca di: https://t.co/1O16NbBqR5
| #Keracunan #MakanBergiziGratis #Lembang https://t.co/ImYS3eyAlM</x:v>
      </x:c>
      <x:c r="D265" s="34" t="str">
        <x:v>'@kompascom Untuk anak janganlah coba2..sebelum terlambat untuk menyesali..!!! #stopmbg</x:v>
      </x:c>
      <x:c r="E265" s="40" t="str"/>
      <x:c r="F265" s="40" t="str"/>
      <x:c r="G265" s="40" t="str"/>
      <x:c r="H265" s="40" t="str"/>
      <x:c r="I265" s="40" t="str"/>
      <x:c r="J265" s="34" t="str">
        <x:v>A2</x:v>
      </x:c>
      <x:c r="K265" s="34" t="str">
        <x:v>1.0</x:v>
      </x:c>
      <x:c r="L265" s="35" t="str">
        <x:f>IF(AND(E265="",F265="",G265="",H265="",I265=""),"",IF(OR(AND(H265="UNCLEAR",E265="",F265="",G265="",I265&lt;&gt;""),AND(H265="LABELED",COUNTIFS(Taksonomi!$A$5:$A$13,E265,Taksonomi!$B$5:$B$13,F265)=1,OR(G265="",AND(COUNTIF(Taksonomi!$D$4:$D$6,G265)=1,G265&lt;&gt;E265)))),"OK","PERIKSA"))</x:f>
      </x:c>
    </x:row>
    <x:row r="266" ht="145" customHeight="1">
      <x:c r="A266" s="34" t="str">
        <x:v>1924621164472889543</x:v>
      </x:c>
      <x:c r="B266" s="34" t="str">
        <x:v>1924264010029154441</x:v>
      </x:c>
      <x:c r="C266" s="34" t="str">
        <x:v>makan bergizi gratis? anak teman ga mau makan dari mbg karena biasa makannhangat dan diantar ibunya dari rumah. eh ibunya dipanggil sekolah kenapa anaknya ga mau makan mbg itu. saya kira mudarat proyek politik ini.</x:v>
      </x:c>
      <x:c r="D266" s="34" t="str">
        <x:v>'@saiful_mujani Dengan pendataan yang jelas, pengeluaran MBG bisa dikurangi tanpa mengurangi manfaatnya.
Evaluasi masih terus dilakukan kok, Lanjutkan MBG untuk lebih baik lagi</x:v>
      </x:c>
      <x:c r="E266" s="40" t="str"/>
      <x:c r="F266" s="40" t="str"/>
      <x:c r="G266" s="40" t="str"/>
      <x:c r="H266" s="40" t="str"/>
      <x:c r="I266" s="40" t="str"/>
      <x:c r="J266" s="34" t="str">
        <x:v>A2</x:v>
      </x:c>
      <x:c r="K266" s="34" t="str">
        <x:v>1.0</x:v>
      </x:c>
      <x:c r="L266" s="35" t="str">
        <x:f>IF(AND(E266="",F266="",G266="",H266="",I266=""),"",IF(OR(AND(H266="UNCLEAR",E266="",F266="",G266="",I266&lt;&gt;""),AND(H266="LABELED",COUNTIFS(Taksonomi!$A$5:$A$13,E266,Taksonomi!$B$5:$B$13,F266)=1,OR(G266="",AND(COUNTIF(Taksonomi!$D$4:$D$6,G266)=1,G266&lt;&gt;E266)))),"OK","PERIKSA"))</x:f>
      </x:c>
    </x:row>
    <x:row r="267" ht="145" customHeight="1">
      <x:c r="A267" s="34" t="str">
        <x:v>1923125910305202347</x:v>
      </x:c>
      <x:c r="B267" s="34" t="str">
        <x:v>1922948999478378549</x:v>
      </x:c>
      <x:c r="C267"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67" s="34" t="str">
        <x:v>'@Piyusaja2 @prabowo Segera ganti MBG dengan Pendidikan Gratis sebelum terlambat! Dan segera #MakzulkanGibran</x:v>
      </x:c>
      <x:c r="E267" s="40" t="str"/>
      <x:c r="F267" s="40" t="str"/>
      <x:c r="G267" s="40" t="str"/>
      <x:c r="H267" s="40" t="str"/>
      <x:c r="I267" s="40" t="str"/>
      <x:c r="J267" s="34" t="str">
        <x:v>A2</x:v>
      </x:c>
      <x:c r="K267" s="34" t="str">
        <x:v>1.0</x:v>
      </x:c>
      <x:c r="L267" s="35" t="str">
        <x:f>IF(AND(E267="",F267="",G267="",H267="",I267=""),"",IF(OR(AND(H267="UNCLEAR",E267="",F267="",G267="",I267&lt;&gt;""),AND(H267="LABELED",COUNTIFS(Taksonomi!$A$5:$A$13,E267,Taksonomi!$B$5:$B$13,F267)=1,OR(G267="",AND(COUNTIF(Taksonomi!$D$4:$D$6,G267)=1,G267&lt;&gt;E267)))),"OK","PERIKSA"))</x:f>
      </x:c>
    </x:row>
    <x:row r="268" ht="145" customHeight="1">
      <x:c r="A268" s="34" t="str">
        <x:v>1815743436966007193</x:v>
      </x:c>
      <x:c r="B268" s="34" t="str">
        <x:v>1815680141089185969</x:v>
      </x:c>
      <x:c r="C268" s="34" t="str">
        <x:v>Gibran Pamer Menu Makan Bergizi Gratis Harga Rp 14.900: Sudah Termasuk Ayam, Nasi, Sayur, Buah, Susu https://t.co/tQIyVWwmIi #TempoBisnis</x:v>
      </x:c>
      <x:c r="D268" s="34" t="str">
        <x:v>'@tempodotco Pamer2 menu doang...realisasinya kapan ngak jelas</x:v>
      </x:c>
      <x:c r="E268" s="40" t="str"/>
      <x:c r="F268" s="40" t="str"/>
      <x:c r="G268" s="40" t="str"/>
      <x:c r="H268" s="40" t="str"/>
      <x:c r="I268" s="40" t="str"/>
      <x:c r="J268" s="34" t="str">
        <x:v>A2</x:v>
      </x:c>
      <x:c r="K268" s="34" t="str">
        <x:v>1.0</x:v>
      </x:c>
      <x:c r="L268" s="35" t="str">
        <x:f>IF(AND(E268="",F268="",G268="",H268="",I268=""),"",IF(OR(AND(H268="UNCLEAR",E268="",F268="",G268="",I268&lt;&gt;""),AND(H268="LABELED",COUNTIFS(Taksonomi!$A$5:$A$13,E268,Taksonomi!$B$5:$B$13,F268)=1,OR(G268="",AND(COUNTIF(Taksonomi!$D$4:$D$6,G268)=1,G268&lt;&gt;E268)))),"OK","PERIKSA"))</x:f>
      </x:c>
    </x:row>
    <x:row r="269" ht="145" customHeight="1">
      <x:c r="A269" s="34" t="str">
        <x:v>2026626937318486409</x:v>
      </x:c>
      <x:c r="B269" s="34" t="str">
        <x:v>2026537644721844659</x:v>
      </x:c>
      <x:c r="C269" s="34" t="str">
        <x:v>BGN: Jatah MBG Rp 8-10 Ribu Per Porsi, Bukan Rp 15 Ribu https://t.co/1HgDLgarZM</x:v>
      </x:c>
      <x:c r="D269" s="34" t="str">
        <x:v>'@tempodotco wadah korup gila2an.</x:v>
      </x:c>
      <x:c r="E269" s="40" t="str"/>
      <x:c r="F269" s="40" t="str"/>
      <x:c r="G269" s="40" t="str"/>
      <x:c r="H269" s="40" t="str"/>
      <x:c r="I269" s="40" t="str"/>
      <x:c r="J269" s="34" t="str">
        <x:v>A2</x:v>
      </x:c>
      <x:c r="K269" s="34" t="str">
        <x:v>1.0</x:v>
      </x:c>
      <x:c r="L269" s="35" t="str">
        <x:f>IF(AND(E269="",F269="",G269="",H269="",I269=""),"",IF(OR(AND(H269="UNCLEAR",E269="",F269="",G269="",I269&lt;&gt;""),AND(H269="LABELED",COUNTIFS(Taksonomi!$A$5:$A$13,E269,Taksonomi!$B$5:$B$13,F269)=1,OR(G269="",AND(COUNTIF(Taksonomi!$D$4:$D$6,G269)=1,G269&lt;&gt;E269)))),"OK","PERIKSA"))</x:f>
      </x:c>
    </x:row>
    <x:row r="270" ht="145" customHeight="1">
      <x:c r="A270" s="34" t="str">
        <x:v>2015784303981187307</x:v>
      </x:c>
      <x:c r="B270" s="34" t="str">
        <x:v>2015705523405164760</x:v>
      </x:c>
      <x:c r="C270" s="34" t="str">
        <x:v>Sebuah video yang memperlihatkan temuan es kue jadul yang diduga berbahan spons di kawasan Kemayoran, Jakarta Pusat, viral di media sosial. Menyikapi hal tersebut, pihak kepolisian langsung turun tangan melakukan penyelidikan.
Dalam video yang beredar, terlihat seorang pria menunjukkan es kue jadul yang dipegangnya dan menyebut makanan tersebut terbuat dari bahan mirip spons. Ia bahkan mencoba membakarnya, hingga terlihat bagian dari es tersebut meleleh. Pria itu pun mengimbau para orang tua untuk lebih waspada terhadap jajanan anak.
Kapolsek Kemayoran, Kompol Agung Ardiansyah, membenarkan adanya laporan tersebut. Ia menyebut kasus ini masih dalam proses penyelidikan oleh Unit Reskrim.</x:v>
      </x:c>
      <x:c r="D270" s="34" t="str">
        <x:v>'@RadioElshinta semoga kakek mendulang pahala dari kezaliman org2 tolol dan dagangannya laku keras rejekinya tumpah ruah aamiin</x:v>
      </x:c>
      <x:c r="E270" s="40" t="str"/>
      <x:c r="F270" s="40" t="str"/>
      <x:c r="G270" s="40" t="str"/>
      <x:c r="H270" s="40" t="str"/>
      <x:c r="I270" s="40" t="str"/>
      <x:c r="J270" s="34" t="str">
        <x:v>A2</x:v>
      </x:c>
      <x:c r="K270" s="34" t="str">
        <x:v>1.0</x:v>
      </x:c>
      <x:c r="L270" s="35" t="str">
        <x:f>IF(AND(E270="",F270="",G270="",H270="",I270=""),"",IF(OR(AND(H270="UNCLEAR",E270="",F270="",G270="",I270&lt;&gt;""),AND(H270="LABELED",COUNTIFS(Taksonomi!$A$5:$A$13,E270,Taksonomi!$B$5:$B$13,F270)=1,OR(G270="",AND(COUNTIF(Taksonomi!$D$4:$D$6,G270)=1,G270&lt;&gt;E270)))),"OK","PERIKSA"))</x:f>
      </x:c>
    </x:row>
    <x:row r="271" ht="145" customHeight="1">
      <x:c r="A271" s="34" t="str">
        <x:v>1915579457487987063</x:v>
      </x:c>
      <x:c r="B271" s="34" t="str">
        <x:v>1915347494973956416</x:v>
      </x:c>
      <x:c r="C271" s="34" t="str">
        <x:v>Kepala BGN Dadan Hindayana mengungkap, penyebab puluhan siswa keracunan usai makan bergizi gratis di Cianjur sulit dideteksi. / #makanbergizigratis #cianjur 
https://t.co/sBSzvTRkAk</x:v>
      </x:c>
      <x:c r="D271" s="34" t="str">
        <x:v>'@kompascom dari awal emang didesain untuk sulit dideteksi, termasuk sulit deteksi korupsi.. bayangin, subjek auditnya udah jadi tokai 💩</x:v>
      </x:c>
      <x:c r="E271" s="40" t="str"/>
      <x:c r="F271" s="40" t="str"/>
      <x:c r="G271" s="40" t="str"/>
      <x:c r="H271" s="40" t="str"/>
      <x:c r="I271" s="40" t="str"/>
      <x:c r="J271" s="34" t="str">
        <x:v>A2</x:v>
      </x:c>
      <x:c r="K271" s="34" t="str">
        <x:v>1.0</x:v>
      </x:c>
      <x:c r="L271" s="35" t="str">
        <x:f>IF(AND(E271="",F271="",G271="",H271="",I271=""),"",IF(OR(AND(H271="UNCLEAR",E271="",F271="",G271="",I271&lt;&gt;""),AND(H271="LABELED",COUNTIFS(Taksonomi!$A$5:$A$13,E271,Taksonomi!$B$5:$B$13,F271)=1,OR(G271="",AND(COUNTIF(Taksonomi!$D$4:$D$6,G271)=1,G271&lt;&gt;E271)))),"OK","PERIKSA"))</x:f>
      </x:c>
    </x:row>
    <x:row r="272" ht="145" customHeight="1">
      <x:c r="A272" s="34" t="str">
        <x:v>2015960831079677972</x:v>
      </x:c>
      <x:c r="B272" s="34" t="str">
        <x:v>2015727069381177450</x:v>
      </x:c>
      <x:c r="C272" s="34" t="str">
        <x:v>Pelindo menegaskan dapur MBG di rumah kakek Wawan berdiri di lahan milik Pelindo. Pelindo menyebut Wawan hanya membeli bangunan, bukan tanah.
Baca selengkapnya: https://t.co/SyzJUzAl08
_RKD #Pelindo #MBG #Wawan https://t.co/7SbhZeIt6C</x:v>
      </x:c>
      <x:c r="D272" s="34" t="str">
        <x:v>'@kompascom Sy gedeg denger istilah MBG,sdhlah uangnya ngentit dana pndidikan yg hrsnya bisa utk mnunjang kprluan pnddikan yg lain. Dtambah lagi menu yg ala kadarnya dibilang bergizi</x:v>
      </x:c>
      <x:c r="E272" s="40" t="str"/>
      <x:c r="F272" s="40" t="str"/>
      <x:c r="G272" s="40" t="str"/>
      <x:c r="H272" s="40" t="str"/>
      <x:c r="I272" s="40" t="str"/>
      <x:c r="J272" s="34" t="str">
        <x:v>A2</x:v>
      </x:c>
      <x:c r="K272" s="34" t="str">
        <x:v>1.0</x:v>
      </x:c>
      <x:c r="L272" s="35" t="str">
        <x:f>IF(AND(E272="",F272="",G272="",H272="",I272=""),"",IF(OR(AND(H272="UNCLEAR",E272="",F272="",G272="",I272&lt;&gt;""),AND(H272="LABELED",COUNTIFS(Taksonomi!$A$5:$A$13,E272,Taksonomi!$B$5:$B$13,F272)=1,OR(G272="",AND(COUNTIF(Taksonomi!$D$4:$D$6,G272)=1,G272&lt;&gt;E272)))),"OK","PERIKSA"))</x:f>
      </x:c>
    </x:row>
    <x:row r="273" ht="145" customHeight="1">
      <x:c r="A273" s="34" t="str">
        <x:v>1920693108586447026</x:v>
      </x:c>
      <x:c r="B273" s="34" t="str">
        <x:v>1920024711091913002</x:v>
      </x:c>
      <x:c r="C273"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73" s="34" t="str">
        <x:v>'@MurtadhaOne1 Nyawa org di hargai dengan angka doang , prabocor otaknya bocor 🤡</x:v>
      </x:c>
      <x:c r="E273" s="40" t="str"/>
      <x:c r="F273" s="40" t="str"/>
      <x:c r="G273" s="40" t="str"/>
      <x:c r="H273" s="40" t="str"/>
      <x:c r="I273" s="40" t="str"/>
      <x:c r="J273" s="34" t="str">
        <x:v>A2</x:v>
      </x:c>
      <x:c r="K273" s="34" t="str">
        <x:v>1.0</x:v>
      </x:c>
      <x:c r="L273" s="35" t="str">
        <x:f>IF(AND(E273="",F273="",G273="",H273="",I273=""),"",IF(OR(AND(H273="UNCLEAR",E273="",F273="",G273="",I273&lt;&gt;""),AND(H273="LABELED",COUNTIFS(Taksonomi!$A$5:$A$13,E273,Taksonomi!$B$5:$B$13,F273)=1,OR(G273="",AND(COUNTIF(Taksonomi!$D$4:$D$6,G273)=1,G273&lt;&gt;E273)))),"OK","PERIKSA"))</x:f>
      </x:c>
    </x:row>
    <x:row r="274" ht="145" customHeight="1">
      <x:c r="A274" s="34" t="str">
        <x:v>2015950609372127569</x:v>
      </x:c>
      <x:c r="B274" s="34" t="str">
        <x:v>2015727069381177450</x:v>
      </x:c>
      <x:c r="C274" s="34" t="str">
        <x:v>Pelindo menegaskan dapur MBG di rumah kakek Wawan berdiri di lahan milik Pelindo. Pelindo menyebut Wawan hanya membeli bangunan, bukan tanah.
Baca selengkapnya: https://t.co/SyzJUzAl08
_RKD #Pelindo #MBG #Wawan https://t.co/7SbhZeIt6C</x:v>
      </x:c>
      <x:c r="D274" s="34" t="str">
        <x:v>'@kompascom Waktunya audit kah untuk pemanfaatan aset2 Pelindo? @bpkri @KPK_RI</x:v>
      </x:c>
      <x:c r="E274" s="40" t="str"/>
      <x:c r="F274" s="40" t="str"/>
      <x:c r="G274" s="40" t="str"/>
      <x:c r="H274" s="40" t="str"/>
      <x:c r="I274" s="40" t="str"/>
      <x:c r="J274" s="34" t="str">
        <x:v>A2</x:v>
      </x:c>
      <x:c r="K274" s="34" t="str">
        <x:v>1.0</x:v>
      </x:c>
      <x:c r="L274" s="35" t="str">
        <x:f>IF(AND(E274="",F274="",G274="",H274="",I274=""),"",IF(OR(AND(H274="UNCLEAR",E274="",F274="",G274="",I274&lt;&gt;""),AND(H274="LABELED",COUNTIFS(Taksonomi!$A$5:$A$13,E274,Taksonomi!$B$5:$B$13,F274)=1,OR(G274="",AND(COUNTIF(Taksonomi!$D$4:$D$6,G274)=1,G274&lt;&gt;E274)))),"OK","PERIKSA"))</x:f>
      </x:c>
    </x:row>
    <x:row r="275" ht="145" customHeight="1">
      <x:c r="A275" s="34" t="str">
        <x:v>1967231670429667755</x:v>
      </x:c>
      <x:c r="B275" s="34" t="str">
        <x:v>1967091223149375864</x:v>
      </x:c>
      <x:c r="C275" s="34" t="str">
        <x:v>Viral video Presiden Prabowo Subianto yang diputar sebelum film di bioskop.
Menteri Sekretaris Negara Prasetyo Hadi menilai hal ini lumrah sepanjang tak melanggar aturan dan kenyamanan penonton.
Video tersebut menampilkan program pemerintah, termasuk Koperasi Makan Bergizi Gratis, Merah Putih, dan Sekolah Rakyat.
👉 Baca selengkapnya https://t.co/xQERAsRfJ1
&lt; #prabowosubianto #mensesnegprasetyohadi #bioskop</x:v>
      </x:c>
      <x:c r="D275" s="34" t="str">
        <x:v>'@kompascom prabowo mau minjem china Rp 1,29 kuadrillyun (*apbn sendiri tdk cukup), yg ngerjain proyek adalah adiknya sendiri *nepotisme, wakil presiden anak mulyono, kabinet mulyono, ini lebih parah dari orba, siap2 pajak naik, rakyat sengsara, pemerintah foya2 #konohagelap #Revolusi https://t.co/4DWTIiC0ls</x:v>
      </x:c>
      <x:c r="E275" s="40" t="str"/>
      <x:c r="F275" s="40" t="str"/>
      <x:c r="G275" s="40" t="str"/>
      <x:c r="H275" s="40" t="str"/>
      <x:c r="I275" s="40" t="str"/>
      <x:c r="J275" s="34" t="str">
        <x:v>A2</x:v>
      </x:c>
      <x:c r="K275" s="34" t="str">
        <x:v>1.0</x:v>
      </x:c>
      <x:c r="L275" s="35" t="str">
        <x:f>IF(AND(E275="",F275="",G275="",H275="",I275=""),"",IF(OR(AND(H275="UNCLEAR",E275="",F275="",G275="",I275&lt;&gt;""),AND(H275="LABELED",COUNTIFS(Taksonomi!$A$5:$A$13,E275,Taksonomi!$B$5:$B$13,F275)=1,OR(G275="",AND(COUNTIF(Taksonomi!$D$4:$D$6,G275)=1,G275&lt;&gt;E275)))),"OK","PERIKSA"))</x:f>
      </x:c>
    </x:row>
    <x:row r="276" ht="145" customHeight="1">
      <x:c r="A276" s="34" t="str">
        <x:v>1879696875445793272</x:v>
      </x:c>
      <x:c r="B276" s="34" t="str">
        <x:v>1879445721478525034</x:v>
      </x:c>
      <x:c r="C276" s="34" t="str">
        <x:v>Baiq Silawati, jurnalis perempuan di Lombok Timur, dipaksa HAPUS REKAMAN VIDEO saat meliput dapur program Makan Bergizi Gratis! 
APA ALASANNYA?
#LombokTimur #MakanBergiziGratis #AgamawanSalam https://t.co/piMQ1Ww7Vg</x:v>
      </x:c>
      <x:c r="D276" s="34" t="str">
        <x:v>'@detikbali__ tikus tikus kantor</x:v>
      </x:c>
      <x:c r="E276" s="40" t="str"/>
      <x:c r="F276" s="40" t="str"/>
      <x:c r="G276" s="40" t="str"/>
      <x:c r="H276" s="40" t="str"/>
      <x:c r="I276" s="40" t="str"/>
      <x:c r="J276" s="34" t="str">
        <x:v>A2</x:v>
      </x:c>
      <x:c r="K276" s="34" t="str">
        <x:v>1.0</x:v>
      </x:c>
      <x:c r="L276" s="35" t="str">
        <x:f>IF(AND(E276="",F276="",G276="",H276="",I276=""),"",IF(OR(AND(H276="UNCLEAR",E276="",F276="",G276="",I276&lt;&gt;""),AND(H276="LABELED",COUNTIFS(Taksonomi!$A$5:$A$13,E276,Taksonomi!$B$5:$B$13,F276)=1,OR(G276="",AND(COUNTIF(Taksonomi!$D$4:$D$6,G276)=1,G276&lt;&gt;E276)))),"OK","PERIKSA"))</x:f>
      </x:c>
    </x:row>
    <x:row r="277" ht="145" customHeight="1">
      <x:c r="A277" s="34" t="str">
        <x:v>2016105422311325878</x:v>
      </x:c>
      <x:c r="B277" s="34" t="str">
        <x:v>2015771057807065352</x:v>
      </x:c>
      <x:c r="C277" s="34" t="str">
        <x:v>Buset yg beginian doang sampe di tes uji leb, embege yg bikin keracunan mana ada di tes begini dah</x:v>
      </x:c>
      <x:c r="D277" s="34" t="str">
        <x:v>'@PernebangRoket Ada ada aja cara biar cari anggaran 🫶🏻</x:v>
      </x:c>
      <x:c r="E277" s="40" t="str"/>
      <x:c r="F277" s="40" t="str"/>
      <x:c r="G277" s="40" t="str"/>
      <x:c r="H277" s="40" t="str"/>
      <x:c r="I277" s="40" t="str"/>
      <x:c r="J277" s="34" t="str">
        <x:v>A2</x:v>
      </x:c>
      <x:c r="K277" s="34" t="str">
        <x:v>1.0</x:v>
      </x:c>
      <x:c r="L277" s="35" t="str">
        <x:f>IF(AND(E277="",F277="",G277="",H277="",I277=""),"",IF(OR(AND(H277="UNCLEAR",E277="",F277="",G277="",I277&lt;&gt;""),AND(H277="LABELED",COUNTIFS(Taksonomi!$A$5:$A$13,E277,Taksonomi!$B$5:$B$13,F277)=1,OR(G277="",AND(COUNTIF(Taksonomi!$D$4:$D$6,G277)=1,G277&lt;&gt;E277)))),"OK","PERIKSA"))</x:f>
      </x:c>
    </x:row>
    <x:row r="278" ht="145" customHeight="1">
      <x:c r="A278" s="34" t="str">
        <x:v>2021927629419655665</x:v>
      </x:c>
      <x:c r="B278" s="34" t="str">
        <x:v>2021852147328176412</x:v>
      </x:c>
      <x:c r="C278" s="34" t="str">
        <x:v>⚠️ // PENIPUAN DAN TINDAKAN REPRESIF DARI SPPG
Kejadian tak adil dialami oleh siswa-siswi suatu sekolah di bilangan Yogyakarta, yang mana mereka terdaftar sebagai penerima manfaat embege dari SPPG Ngestiharjo 4, Bantul, DIY.
Melalui medsos SPPG, mereka mengunggah bahwa menu kemarin, 11 Februari 2026, akan menghadirkan prohe berupa ikan dori, namun pada kenyatannya yang datang hanya ompreng berisi nasi, tahu, sayur frozen food, semangka dua potong dadu kecil, dan SECUIL PANGSIT.
Atas kekecewaannya, salah seorang siswa mengunggahnya ke medsos dengan maksud memancing SPPG Ngestiharjo 4 untuk memberi keterangan. Namun alih-alih memberi keterangan, mereka malah menon-aktifkan akun Instagramnya dan melakukan tindakan represif dengan cara mengerahkan dua cecunguk buzzer dengan nama pengguna (@)rizal_rockk dan (@)taufikgkmodal. Brengsek.
Sungguh tindakan yang amat sangat menjijikkan dan pengecut dari sebuah SPPG. Kalian layak hancur! 🫵🏻</x:v>
      </x:c>
      <x:c r="D278" s="34" t="str">
        <x:v>'@menuembegejelek Yang dipake buat bayar program jelek ini kan duit rakyat ya, wajar dong sebagai penerima manfaat komplain kalo menu yang diterima ngga sesuai postingan, hadeh duit dipangkas masuk kantong sih ya gini hasilnya</x:v>
      </x:c>
      <x:c r="E278" s="40" t="str"/>
      <x:c r="F278" s="40" t="str"/>
      <x:c r="G278" s="40" t="str"/>
      <x:c r="H278" s="40" t="str"/>
      <x:c r="I278" s="40" t="str"/>
      <x:c r="J278" s="34" t="str">
        <x:v>A2</x:v>
      </x:c>
      <x:c r="K278" s="34" t="str">
        <x:v>1.0</x:v>
      </x:c>
      <x:c r="L278" s="35" t="str">
        <x:f>IF(AND(E278="",F278="",G278="",H278="",I278=""),"",IF(OR(AND(H278="UNCLEAR",E278="",F278="",G278="",I278&lt;&gt;""),AND(H278="LABELED",COUNTIFS(Taksonomi!$A$5:$A$13,E278,Taksonomi!$B$5:$B$13,F278)=1,OR(G278="",AND(COUNTIF(Taksonomi!$D$4:$D$6,G278)=1,G278&lt;&gt;E278)))),"OK","PERIKSA"))</x:f>
      </x:c>
    </x:row>
    <x:row r="279" ht="145" customHeight="1">
      <x:c r="A279" s="34" t="str">
        <x:v>1968617636100550786</x:v>
      </x:c>
      <x:c r="B279" s="34" t="str">
        <x:v>1968470792854978655</x:v>
      </x:c>
      <x:c r="C279" s="34" t="str">
        <x:v>Lagi dan lagi.....
Sebanyak 157 siswa SD, SMP, SMA dan SMK di Salakan, Kabupaten Banggai Kepulauan Provinsi Sulawesi Tengah
dilarikan ke rumah sakit Trikora karena kera cunan setelah mengonsumsi makanan bergizi gratis.
Bupati Banggai Kepulauan turun langsung menyampaikan bahwa seluruh tenaga medis dikerahkan untuk membantu, sampai saat ini sebanyak 80 siswa telah dipulangkan dan seluruh siswa tidak ada yg menunjukkan kondisi kritis.</x:v>
      </x:c>
      <x:c r="D279" s="34" t="str">
        <x:v>'@kenhans03 Dari awal blm jd jg udah tau ini program sampah.</x:v>
      </x:c>
      <x:c r="E279" s="40" t="str"/>
      <x:c r="F279" s="40" t="str"/>
      <x:c r="G279" s="40" t="str"/>
      <x:c r="H279" s="40" t="str"/>
      <x:c r="I279" s="40" t="str"/>
      <x:c r="J279" s="34" t="str">
        <x:v>A2</x:v>
      </x:c>
      <x:c r="K279" s="34" t="str">
        <x:v>1.0</x:v>
      </x:c>
      <x:c r="L279" s="35" t="str">
        <x:f>IF(AND(E279="",F279="",G279="",H279="",I279=""),"",IF(OR(AND(H279="UNCLEAR",E279="",F279="",G279="",I279&lt;&gt;""),AND(H279="LABELED",COUNTIFS(Taksonomi!$A$5:$A$13,E279,Taksonomi!$B$5:$B$13,F279)=1,OR(G279="",AND(COUNTIF(Taksonomi!$D$4:$D$6,G279)=1,G279&lt;&gt;E279)))),"OK","PERIKSA"))</x:f>
      </x:c>
    </x:row>
    <x:row r="280" ht="145" customHeight="1">
      <x:c r="A280" s="34" t="str">
        <x:v>1920318691327291848</x:v>
      </x:c>
      <x:c r="B280" s="34" t="str">
        <x:v>1920024711091913002</x:v>
      </x:c>
      <x:c r="C280"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80" s="34" t="str">
        <x:v>'@MurtadhaOne1 harusnya bilang kami akan berbenah lagi dll, dibenerin lgi, buat yg distribusi akan diperhatikan lagi supaya tidak terjadi seperti ini. malah jawabnya kek gitu 🙄🫠</x:v>
      </x:c>
      <x:c r="E280" s="40" t="str"/>
      <x:c r="F280" s="40" t="str"/>
      <x:c r="G280" s="40" t="str"/>
      <x:c r="H280" s="40" t="str"/>
      <x:c r="I280" s="40" t="str"/>
      <x:c r="J280" s="34" t="str">
        <x:v>A2</x:v>
      </x:c>
      <x:c r="K280" s="34" t="str">
        <x:v>1.0</x:v>
      </x:c>
      <x:c r="L280" s="35" t="str">
        <x:f>IF(AND(E280="",F280="",G280="",H280="",I280=""),"",IF(OR(AND(H280="UNCLEAR",E280="",F280="",G280="",I280&lt;&gt;""),AND(H280="LABELED",COUNTIFS(Taksonomi!$A$5:$A$13,E280,Taksonomi!$B$5:$B$13,F280)=1,OR(G280="",AND(COUNTIF(Taksonomi!$D$4:$D$6,G280)=1,G280&lt;&gt;E280)))),"OK","PERIKSA"))</x:f>
      </x:c>
    </x:row>
    <x:row r="281" ht="145" customHeight="1">
      <x:c r="A281" s="34" t="str">
        <x:v>1971795877842088003</x:v>
      </x:c>
      <x:c r="B281" s="34" t="str">
        <x:v>1971073094778511523</x:v>
      </x:c>
      <x:c r="C281" s="34" t="str">
        <x:v>Nutritionist DR. dr. Tan Shot Yen, M.Hum blasts Badan Gizi Nasional over the poor quality of MBG during DPR meeting. https://t.co/5it2C81elJ</x:v>
      </x:c>
      <x:c r="D281" s="34" t="str">
        <x:v>'@IndoPopBase Ngasih program juga masih itung2an doi di jatah 10rb. tp punya maksud memperbaiki gizi,gizi pala lu</x:v>
      </x:c>
      <x:c r="E281" s="40" t="str"/>
      <x:c r="F281" s="40" t="str"/>
      <x:c r="G281" s="40" t="str"/>
      <x:c r="H281" s="40" t="str"/>
      <x:c r="I281" s="40" t="str"/>
      <x:c r="J281" s="34" t="str">
        <x:v>A2</x:v>
      </x:c>
      <x:c r="K281" s="34" t="str">
        <x:v>1.0</x:v>
      </x:c>
      <x:c r="L281" s="35" t="str">
        <x:f>IF(AND(E281="",F281="",G281="",H281="",I281=""),"",IF(OR(AND(H281="UNCLEAR",E281="",F281="",G281="",I281&lt;&gt;""),AND(H281="LABELED",COUNTIFS(Taksonomi!$A$5:$A$13,E281,Taksonomi!$B$5:$B$13,F281)=1,OR(G281="",AND(COUNTIF(Taksonomi!$D$4:$D$6,G281)=1,G281&lt;&gt;E281)))),"OK","PERIKSA"))</x:f>
      </x:c>
    </x:row>
    <x:row r="282" ht="145" customHeight="1">
      <x:c r="A282" s="34" t="str">
        <x:v>1923011192517243074</x:v>
      </x:c>
      <x:c r="B282" s="34" t="str">
        <x:v>1922948999478378549</x:v>
      </x:c>
      <x:c r="C282" s="34" t="str">
        <x:v>KEREN! Program Kesayangan @Prabowo MBG masuk berita koran ternama Jepang Asahi Shimbun.
Asahi Shimbun secara luas dianggap sebagai surat kabar harian yang paling dihormati di Jepang karena jurnalismenya.
Asahi Shimbun mengangkat berita program MBG (Makan Bergizi Gratis) yang merupakan program kesayangan/prioritas Presiden RI Prabowo Subianto.
Judul berita Asahi Shimbun yang terbit hari ini (15/5/2025):
無料給食後に吐き気、食中毒症状1千人以上　大統領の肝いり政策波紋
Terjemahannya:
"Lebih dari 1.000 orang menderita mual dan keracunan makanan setelah makan siang gratis di sekolah; Kebijakan kesayangan presiden menimbulkan dampak".
Link berita: 
https://t.co/ZNtQxuBnJ8</x:v>
      </x:c>
      <x:c r="D282" s="34" t="str">
        <x:v>'@Piyusaja2 @prabowo Wadidau, kukira Brita positif, rupanya Brita terlambat bulat (mual).</x:v>
      </x:c>
      <x:c r="E282" s="40" t="str"/>
      <x:c r="F282" s="40" t="str"/>
      <x:c r="G282" s="40" t="str"/>
      <x:c r="H282" s="40" t="str"/>
      <x:c r="I282" s="40" t="str"/>
      <x:c r="J282" s="34" t="str">
        <x:v>A2</x:v>
      </x:c>
      <x:c r="K282" s="34" t="str">
        <x:v>1.0</x:v>
      </x:c>
      <x:c r="L282" s="35" t="str">
        <x:f>IF(AND(E282="",F282="",G282="",H282="",I282=""),"",IF(OR(AND(H282="UNCLEAR",E282="",F282="",G282="",I282&lt;&gt;""),AND(H282="LABELED",COUNTIFS(Taksonomi!$A$5:$A$13,E282,Taksonomi!$B$5:$B$13,F282)=1,OR(G282="",AND(COUNTIF(Taksonomi!$D$4:$D$6,G282)=1,G282&lt;&gt;E282)))),"OK","PERIKSA"))</x:f>
      </x:c>
    </x:row>
    <x:row r="283" ht="145" customHeight="1">
      <x:c r="A283" s="34" t="str">
        <x:v>1893509450461589997</x:v>
      </x:c>
      <x:c r="B283" s="34" t="str">
        <x:v>1893301011525075427</x:v>
      </x:c>
      <x:c r="C283" s="34" t="str">
        <x:v>Yang Dapat
Makan Bergizi Gratis
Cuma Dua Anak........
😢😢😢😢😢😢 https://t.co/lQkRgZb5jC</x:v>
      </x:c>
      <x:c r="D283" s="34" t="str">
        <x:v>'@cobeh2022 Program MBG cuma hanya untuk merealisasi janji Politiknya. Tanpa ada kajian akademik dari para pakar Kuliner, Ekonomi, Ahli Gizi dan Pengamat Sosial lainnya.
Makanya jangan heran kalau dibeberapa tempat ada yang keracunan, kwalitas makanan rendah.
Kita tunggu yang di Korupsi...! https://t.co/uFoczDyRK0</x:v>
      </x:c>
      <x:c r="E283" s="40" t="str"/>
      <x:c r="F283" s="40" t="str"/>
      <x:c r="G283" s="40" t="str"/>
      <x:c r="H283" s="40" t="str"/>
      <x:c r="I283" s="40" t="str"/>
      <x:c r="J283" s="34" t="str">
        <x:v>A2</x:v>
      </x:c>
      <x:c r="K283" s="34" t="str">
        <x:v>1.0</x:v>
      </x:c>
      <x:c r="L283" s="35" t="str">
        <x:f>IF(AND(E283="",F283="",G283="",H283="",I283=""),"",IF(OR(AND(H283="UNCLEAR",E283="",F283="",G283="",I283&lt;&gt;""),AND(H283="LABELED",COUNTIFS(Taksonomi!$A$5:$A$13,E283,Taksonomi!$B$5:$B$13,F283)=1,OR(G283="",AND(COUNTIF(Taksonomi!$D$4:$D$6,G283)=1,G283&lt;&gt;E283)))),"OK","PERIKSA"))</x:f>
      </x:c>
    </x:row>
    <x:row r="284" ht="145" customHeight="1">
      <x:c r="A284" s="34" t="str">
        <x:v>1972402535135842397</x:v>
      </x:c>
      <x:c r="B284" s="34" t="str">
        <x:v>1972175293734645911</x:v>
      </x:c>
      <x:c r="C284" s="34" t="str">
        <x:v>Min @hrdbacot @ecommurz @ainunnajib @CNNIndonesia @CNNIDdaily https://t.co/vHRHV0zPNs</x:v>
      </x:c>
      <x:c r="D284" s="34" t="str">
        <x:v>'@windumuktiw @hrdbacot @ecommurz @ainunnajib @CNNIndonesia @CNNIDdaily MBG banyak masalah,
Kasus keracunan dimana-mana.
Gitu aja kok Repot. 😁😄😄</x:v>
      </x:c>
      <x:c r="E284" s="40" t="str"/>
      <x:c r="F284" s="40" t="str"/>
      <x:c r="G284" s="40" t="str"/>
      <x:c r="H284" s="40" t="str"/>
      <x:c r="I284" s="40" t="str"/>
      <x:c r="J284" s="34" t="str">
        <x:v>A2</x:v>
      </x:c>
      <x:c r="K284" s="34" t="str">
        <x:v>1.0</x:v>
      </x:c>
      <x:c r="L284" s="35" t="str">
        <x:f>IF(AND(E284="",F284="",G284="",H284="",I284=""),"",IF(OR(AND(H284="UNCLEAR",E284="",F284="",G284="",I284&lt;&gt;""),AND(H284="LABELED",COUNTIFS(Taksonomi!$A$5:$A$13,E284,Taksonomi!$B$5:$B$13,F284)=1,OR(G284="",AND(COUNTIF(Taksonomi!$D$4:$D$6,G284)=1,G284&lt;&gt;E284)))),"OK","PERIKSA"))</x:f>
      </x:c>
    </x:row>
    <x:row r="285" ht="145" customHeight="1">
      <x:c r="A285" s="34" t="str">
        <x:v>1990351192174870822</x:v>
      </x:c>
      <x:c r="B285" s="34" t="str">
        <x:v>1990222341687910706</x:v>
      </x:c>
      <x:c r="C285" s="34" t="str">
        <x:v>BERITA DUKA PAGI INI
Nasib teman teman SGz akan dibuat mirip seperti SKM (K3) atau S1 K3 dimana dengan modal sertifikasi 3 bulan ala BNSP maka "siapapun" bisa jadi "Ahli Gizi" atau "Pengawas Gizi" seperti statemen dibawah ini....
#MBG
Source IG: wira.adikaraa https://t.co/SupForwhMA</x:v>
      </x:c>
      <x:c r="D285" s="34" t="str">
        <x:v>'@dosenkesmas @aken_zank @rachasweet123 gini nih kalo gen 50-80an dikasih tau ngeyel nanti bilangnya kamu tau apa tentang gizi saya lebih ngerti daripada kamu gk usah ngajarin wkwkwk eh maap yasalam</x:v>
      </x:c>
      <x:c r="E285" s="40" t="str"/>
      <x:c r="F285" s="40" t="str"/>
      <x:c r="G285" s="40" t="str"/>
      <x:c r="H285" s="40" t="str"/>
      <x:c r="I285" s="40" t="str"/>
      <x:c r="J285" s="34" t="str">
        <x:v>A2</x:v>
      </x:c>
      <x:c r="K285" s="34" t="str">
        <x:v>1.0</x:v>
      </x:c>
      <x:c r="L285" s="35" t="str">
        <x:f>IF(AND(E285="",F285="",G285="",H285="",I285=""),"",IF(OR(AND(H285="UNCLEAR",E285="",F285="",G285="",I285&lt;&gt;""),AND(H285="LABELED",COUNTIFS(Taksonomi!$A$5:$A$13,E285,Taksonomi!$B$5:$B$13,F285)=1,OR(G285="",AND(COUNTIF(Taksonomi!$D$4:$D$6,G285)=1,G285&lt;&gt;E285)))),"OK","PERIKSA"))</x:f>
      </x:c>
    </x:row>
    <x:row r="286" ht="145" customHeight="1">
      <x:c r="A286" s="34" t="str">
        <x:v>1967279806976024843</x:v>
      </x:c>
      <x:c r="B286" s="34" t="str">
        <x:v>1967257410470609263</x:v>
      </x:c>
      <x:c r="C286" s="34" t="str">
        <x:v>#intinyadeh
&amp;gt; Viral video Prabowo sebelum penayangan film di bioskop
&amp;gt; Video bahas program MBG, Koperasi Merah Putih, dll
&amp;gt; Byk dikritik netizen: gak nyaman. Uang rakyat dipake buat placement di bioskop
&amp;gt; Mensesneg: lumrah, sepanjang gak langgar aturan &amp;amp; kenyamanan penonton</x:v>
      </x:c>
      <x:c r="D286" s="34" t="str">
        <x:v>'@intinyadeh LOBANG PUKI.. ITU VIRAL KRN MASYARAKAT UDH RISIH! MKNYA BISA VIRAL. DENGAN ENAKNYA NGOMONG GPP ASAL GAK GANGGU KENYAMANAN PENONTON! IDIOT KNTL!</x:v>
      </x:c>
      <x:c r="E286" s="40" t="str"/>
      <x:c r="F286" s="40" t="str"/>
      <x:c r="G286" s="40" t="str"/>
      <x:c r="H286" s="40" t="str"/>
      <x:c r="I286" s="40" t="str"/>
      <x:c r="J286" s="34" t="str">
        <x:v>A2</x:v>
      </x:c>
      <x:c r="K286" s="34" t="str">
        <x:v>1.0</x:v>
      </x:c>
      <x:c r="L286" s="35" t="str">
        <x:f>IF(AND(E286="",F286="",G286="",H286="",I286=""),"",IF(OR(AND(H286="UNCLEAR",E286="",F286="",G286="",I286&lt;&gt;""),AND(H286="LABELED",COUNTIFS(Taksonomi!$A$5:$A$13,E286,Taksonomi!$B$5:$B$13,F286)=1,OR(G286="",AND(COUNTIF(Taksonomi!$D$4:$D$6,G286)=1,G286&lt;&gt;E286)))),"OK","PERIKSA"))</x:f>
      </x:c>
    </x:row>
    <x:row r="287" ht="145" customHeight="1">
      <x:c r="A287" s="34" t="str">
        <x:v>1891370099866533918</x:v>
      </x:c>
      <x:c r="B287" s="34" t="str">
        <x:v>1891312846215987311</x:v>
      </x:c>
      <x:c r="C287" s="34" t="str">
        <x:v>Aksi damai penolakan #MBG di Wamena hari ini (17/2) hari ricuh akibat polisi memblokade demo pelajar di Wamena, #papua. Mereka tuntut pendidikan gratis dan tarik militer. https://t.co/BIHFG9axnq</x:v>
      </x:c>
      <x:c r="D287" s="34" t="str">
        <x:v>'@vyeimo83 MBG = Makanan Bergizi Gratis jauh dari standar gizi. Protein &amp;amp; sayurnya seuprit dan banyak karbonya. Lebih cocok disebut MSG = Makan Siang Gratis.</x:v>
      </x:c>
      <x:c r="E287" s="40" t="str"/>
      <x:c r="F287" s="40" t="str"/>
      <x:c r="G287" s="40" t="str"/>
      <x:c r="H287" s="40" t="str"/>
      <x:c r="I287" s="40" t="str"/>
      <x:c r="J287" s="34" t="str">
        <x:v>A2</x:v>
      </x:c>
      <x:c r="K287" s="34" t="str">
        <x:v>1.0</x:v>
      </x:c>
      <x:c r="L287" s="35" t="str">
        <x:f>IF(AND(E287="",F287="",G287="",H287="",I287=""),"",IF(OR(AND(H287="UNCLEAR",E287="",F287="",G287="",I287&lt;&gt;""),AND(H287="LABELED",COUNTIFS(Taksonomi!$A$5:$A$13,E287,Taksonomi!$B$5:$B$13,F287)=1,OR(G287="",AND(COUNTIF(Taksonomi!$D$4:$D$6,G287)=1,G287&lt;&gt;E287)))),"OK","PERIKSA"))</x:f>
      </x:c>
    </x:row>
    <x:row r="288" ht="145" customHeight="1">
      <x:c r="A288" s="34" t="str">
        <x:v>2024368434956636357</x:v>
      </x:c>
      <x:c r="B288" s="34" t="str">
        <x:v>2024359625244774442</x:v>
      </x:c>
      <x:c r="C288" s="34" t="str">
        <x:v>Teruntuk semua pengikut @menuembegejelek yang sudah dan/atau yang kelak akan aktif melapor perihal menu-menu jelek proyek embege, berikut kami umumkan:
Mari sepakati bahwa minuman rasa susu dalam gambar adalah minuman yang 100% DILARANG untuk dipergunakan dalam pendistribusian embege. Minuman ini 100% ultra proses, mengandung bahan-bahan tambahan, tak layak dikonsumsi anak-anak, dan jelas SANGAT TIDAK BOLEH masuk ke dalam daftar menu Makan Bergiji Gratis.
Siapapun yang menemukan unggahan medsos SPPG dengan gambar minuman ini agar segera melapor pada kami, pasti akan kami maki-maki dan viralkan kubangan lumpur itu! 🫵🏻🙂</x:v>
      </x:c>
      <x:c r="D288" s="34" t="str">
        <x:v>'@menuembegejelek Anakku dapat MBG kering dikasih minuman kemasan Oat M*lk yang mana kita tau oatmilk kemasan tu UPF, oatnya cuma 8% yg lain bahan2 yg kurang "nyata".</x:v>
      </x:c>
      <x:c r="E288" s="40" t="str"/>
      <x:c r="F288" s="40" t="str"/>
      <x:c r="G288" s="40" t="str"/>
      <x:c r="H288" s="40" t="str"/>
      <x:c r="I288" s="40" t="str"/>
      <x:c r="J288" s="34" t="str">
        <x:v>A2</x:v>
      </x:c>
      <x:c r="K288" s="34" t="str">
        <x:v>1.0</x:v>
      </x:c>
      <x:c r="L288" s="35" t="str">
        <x:f>IF(AND(E288="",F288="",G288="",H288="",I288=""),"",IF(OR(AND(H288="UNCLEAR",E288="",F288="",G288="",I288&lt;&gt;""),AND(H288="LABELED",COUNTIFS(Taksonomi!$A$5:$A$13,E288,Taksonomi!$B$5:$B$13,F288)=1,OR(G288="",AND(COUNTIF(Taksonomi!$D$4:$D$6,G288)=1,G288&lt;&gt;E288)))),"OK","PERIKSA"))</x:f>
      </x:c>
    </x:row>
    <x:row r="289" ht="145" customHeight="1">
      <x:c r="A289" s="34" t="str">
        <x:v>1962856374255428090</x:v>
      </x:c>
      <x:c r="B289" s="34" t="str">
        <x:v>1962851032343670917</x:v>
      </x:c>
      <x:c r="C289" s="34" t="str">
        <x:v>"Hari ini ada 1 ompreng, salah satu menunya ada jangkriknya. Jangkrik ada di dalam tahu goreng ketika dibelah salah satu anak (ditemukan jangkrik) sudah termasak," kata Nugroho.
Klik untuk baca: https://t.co/gCuzNIYXIh
| #MakanBergiziGratis #Yogyakarta https://t.co/fXlVYLyRjp</x:v>
      </x:c>
      <x:c r="D289" s="34" t="str">
        <x:v>'@kompascom 1 porsi, 1 menu, jangan2 kerjaan manusia2 anti pemerintah</x:v>
      </x:c>
      <x:c r="E289" s="40" t="str"/>
      <x:c r="F289" s="40" t="str"/>
      <x:c r="G289" s="40" t="str"/>
      <x:c r="H289" s="40" t="str"/>
      <x:c r="I289" s="40" t="str"/>
      <x:c r="J289" s="34" t="str">
        <x:v>A2</x:v>
      </x:c>
      <x:c r="K289" s="34" t="str">
        <x:v>1.0</x:v>
      </x:c>
      <x:c r="L289" s="35" t="str">
        <x:f>IF(AND(E289="",F289="",G289="",H289="",I289=""),"",IF(OR(AND(H289="UNCLEAR",E289="",F289="",G289="",I289&lt;&gt;""),AND(H289="LABELED",COUNTIFS(Taksonomi!$A$5:$A$13,E289,Taksonomi!$B$5:$B$13,F289)=1,OR(G289="",AND(COUNTIF(Taksonomi!$D$4:$D$6,G289)=1,G289&lt;&gt;E289)))),"OK","PERIKSA"))</x:f>
      </x:c>
    </x:row>
    <x:row r="290" ht="145" customHeight="1">
      <x:c r="A290" s="34" t="str">
        <x:v>1855943366640386442</x:v>
      </x:c>
      <x:c r="B290" s="34" t="str">
        <x:v>1855901997892776154</x:v>
      </x:c>
      <x:c r="C290" s="34" t="str">
        <x:v>Prabowo: China akan Dukung Pendanaan Program Makan Bergizi Gratis https://t.co/Bt9jQpvs11</x:v>
      </x:c>
      <x:c r="D290" s="34" t="str">
        <x:v>'@tempodotco Ngutang lagi ya Pak @prabowo ...😄😄.
Ngutang itu untuk menggratiskan biaya pendidikan dari PAUD sampai  PT baru jos.
Lah ini ngutang buat makan.
Sangat tidak pas .</x:v>
      </x:c>
      <x:c r="E290" s="40" t="str"/>
      <x:c r="F290" s="40" t="str"/>
      <x:c r="G290" s="40" t="str"/>
      <x:c r="H290" s="40" t="str"/>
      <x:c r="I290" s="40" t="str"/>
      <x:c r="J290" s="34" t="str">
        <x:v>A2</x:v>
      </x:c>
      <x:c r="K290" s="34" t="str">
        <x:v>1.0</x:v>
      </x:c>
      <x:c r="L290" s="35" t="str">
        <x:f>IF(AND(E290="",F290="",G290="",H290="",I290=""),"",IF(OR(AND(H290="UNCLEAR",E290="",F290="",G290="",I290&lt;&gt;""),AND(H290="LABELED",COUNTIFS(Taksonomi!$A$5:$A$13,E290,Taksonomi!$B$5:$B$13,F290)=1,OR(G290="",AND(COUNTIF(Taksonomi!$D$4:$D$6,G290)=1,G290&lt;&gt;E290)))),"OK","PERIKSA"))</x:f>
      </x:c>
    </x:row>
    <x:row r="291" ht="145" customHeight="1">
      <x:c r="A291" s="34" t="str">
        <x:v>1920673849621819726</x:v>
      </x:c>
      <x:c r="B291" s="34" t="str">
        <x:v>1920024711091913002</x:v>
      </x:c>
      <x:c r="C291" s="34" t="str">
        <x:v>Bagi Prabowo, anak2 yg meregang nyawa keracunan MBG ini hanyalah collateral damage, angka statistik
Tanpa empati, Prabowo membanggakan program MBG dgn mengatakan anak2 yg keracunan ini hanya 0,005%...
Bagi orang tua anak2 tsb, kejadian ini adalah percobaan pembunuhan anak2 mrk https://t.co/49aZ1jJYBm</x:v>
      </x:c>
      <x:c r="D291" s="34" t="str">
        <x:v>'@MurtadhaOne1 — program ini saya fikir tanpa pengawasan dari mulai dana sampai ke makanan yang di sajikan @prabowo</x:v>
      </x:c>
      <x:c r="E291" s="40" t="str"/>
      <x:c r="F291" s="40" t="str"/>
      <x:c r="G291" s="40" t="str"/>
      <x:c r="H291" s="40" t="str"/>
      <x:c r="I291" s="40" t="str"/>
      <x:c r="J291" s="34" t="str">
        <x:v>A2</x:v>
      </x:c>
      <x:c r="K291" s="34" t="str">
        <x:v>1.0</x:v>
      </x:c>
      <x:c r="L291" s="35" t="str">
        <x:f>IF(AND(E291="",F291="",G291="",H291="",I291=""),"",IF(OR(AND(H291="UNCLEAR",E291="",F291="",G291="",I291&lt;&gt;""),AND(H291="LABELED",COUNTIFS(Taksonomi!$A$5:$A$13,E291,Taksonomi!$B$5:$B$13,F291)=1,OR(G291="",AND(COUNTIF(Taksonomi!$D$4:$D$6,G291)=1,G291&lt;&gt;E291)))),"OK","PERIKSA"))</x:f>
      </x:c>
    </x:row>
    <x:row r="292" ht="145" customHeight="1">
      <x:c r="A292" s="34" t="str">
        <x:v>2015625373120336173</x:v>
      </x:c>
      <x:c r="B292" s="34" t="str">
        <x:v>2015593200413790212</x:v>
      </x:c>
      <x:c r="C292" s="34" t="str">
        <x:v>Yang klinis dibantah, yang klenik disembah. Yang pakar diragukan, yang sensasional dipertontonkan. Orang pintar dibilang bodoh, orang bodoh merasa pintar. Ternyata, sebaik-baiknya makan bergizi gratis, negeri ini lebih membutuhkan pendidikan gratis</x:v>
      </x:c>
      <x:c r="D292" s="34" t="str">
        <x:v>'@FiersaBesari Mungkin karena selama ini gk dpt makanan yg gandungan gizi tidak berkualitas menyebabkan perkembangan otak tidak optimal dan pola pikir tidak berkembang. Mungkin hal ini yg mau di perbaiki oleh pemerintah kita 🤣😂. wkwkwkkwkwkwkwk. Miris ya liat negara ini 😅</x:v>
      </x:c>
      <x:c r="E292" s="40" t="str"/>
      <x:c r="F292" s="40" t="str"/>
      <x:c r="G292" s="40" t="str"/>
      <x:c r="H292" s="40" t="str"/>
      <x:c r="I292" s="40" t="str"/>
      <x:c r="J292" s="34" t="str">
        <x:v>A2</x:v>
      </x:c>
      <x:c r="K292" s="34" t="str">
        <x:v>1.0</x:v>
      </x:c>
      <x:c r="L292" s="35" t="str">
        <x:f>IF(AND(E292="",F292="",G292="",H292="",I292=""),"",IF(OR(AND(H292="UNCLEAR",E292="",F292="",G292="",I292&lt;&gt;""),AND(H292="LABELED",COUNTIFS(Taksonomi!$A$5:$A$13,E292,Taksonomi!$B$5:$B$13,F292)=1,OR(G292="",AND(COUNTIF(Taksonomi!$D$4:$D$6,G292)=1,G292&lt;&gt;E292)))),"OK","PERIKSA"))</x:f>
      </x:c>
    </x:row>
    <x:row r="293" ht="145" customHeight="1">
      <x:c r="A293" s="34" t="str">
        <x:v>1971518651972108591</x:v>
      </x:c>
      <x:c r="B293" s="34" t="str">
        <x:v>1958459925472141690</x:v>
      </x:c>
      <x:c r="C293" s="34" t="str">
        <x:v>Menteri Koordinator Bidang Pangan Zulkifli Hasan (Zulhas) mengatakan, penyebab para siswa mengalami keracunan MBG karena masih belum terbiasa mengkonsumsinya, bukan karena salah dalam mengolah masakan.
Klik untuk baca: https://t.co/q1ZXrhX4rn 
| #MakanBergiziGratis #Keracunan #Zulhas</x:v>
      </x:c>
      <x:c r="D293" s="34" t="str">
        <x:v>'@kompascom Zulhas ini orang yg pas buat jadi tester mbg di daerah pelosok cicip dulu lah.</x:v>
      </x:c>
      <x:c r="E293" s="40" t="str"/>
      <x:c r="F293" s="40" t="str"/>
      <x:c r="G293" s="40" t="str"/>
      <x:c r="H293" s="40" t="str"/>
      <x:c r="I293" s="40" t="str"/>
      <x:c r="J293" s="34" t="str">
        <x:v>A2</x:v>
      </x:c>
      <x:c r="K293" s="34" t="str">
        <x:v>1.0</x:v>
      </x:c>
      <x:c r="L293" s="35" t="str">
        <x:f>IF(AND(E293="",F293="",G293="",H293="",I293=""),"",IF(OR(AND(H293="UNCLEAR",E293="",F293="",G293="",I293&lt;&gt;""),AND(H293="LABELED",COUNTIFS(Taksonomi!$A$5:$A$13,E293,Taksonomi!$B$5:$B$13,F293)=1,OR(G293="",AND(COUNTIF(Taksonomi!$D$4:$D$6,G293)=1,G293&lt;&gt;E293)))),"OK","PERIKSA"))</x:f>
      </x:c>
    </x:row>
    <x:row r="294" ht="145" customHeight="1">
      <x:c r="A294" s="34" t="str">
        <x:v>2026997158663377371</x:v>
      </x:c>
      <x:c r="B294" s="34" t="str">
        <x:v>2026537644721844659</x:v>
      </x:c>
      <x:c r="C294" s="34" t="str">
        <x:v>BGN: Jatah MBG Rp 8-10 Ribu Per Porsi, Bukan Rp 15 Ribu https://t.co/1HgDLgarZM</x:v>
      </x:c>
      <x:c r="D294" s="34" t="str">
        <x:v>'@tempodotco Oh 10 ribu ya? Kalo gitu mending kasih mbak yang ini aja pengolahannya 😂😭 biar anak-anak Ga minum susu kemasan tinggi gula sama keju kemasan yang gajelas kandungannya https://t.co/Xn6OGQDLS5</x:v>
      </x:c>
      <x:c r="E294" s="40" t="str"/>
      <x:c r="F294" s="40" t="str"/>
      <x:c r="G294" s="40" t="str"/>
      <x:c r="H294" s="40" t="str"/>
      <x:c r="I294" s="40" t="str"/>
      <x:c r="J294" s="34" t="str">
        <x:v>A2</x:v>
      </x:c>
      <x:c r="K294" s="34" t="str">
        <x:v>1.0</x:v>
      </x:c>
      <x:c r="L294" s="35" t="str">
        <x:f>IF(AND(E294="",F294="",G294="",H294="",I294=""),"",IF(OR(AND(H294="UNCLEAR",E294="",F294="",G294="",I294&lt;&gt;""),AND(H294="LABELED",COUNTIFS(Taksonomi!$A$5:$A$13,E294,Taksonomi!$B$5:$B$13,F294)=1,OR(G294="",AND(COUNTIF(Taksonomi!$D$4:$D$6,G294)=1,G294&lt;&gt;E294)))),"OK","PERIKSA"))</x:f>
      </x:c>
    </x:row>
    <x:row r="295" ht="145" customHeight="1">
      <x:c r="A295" s="34" t="str">
        <x:v>1943682223217037795</x:v>
      </x:c>
      <x:c r="B295" s="34" t="str">
        <x:v>1943613737996337300</x:v>
      </x:c>
      <x:c r="C295" s="34" t="str">
        <x:v>Badan Gizi Minta Tambahan Rp 118 Triliun untuk Makan Bergizi Gratis 2026
https://t.co/qsyk153ols</x:v>
      </x:c>
      <x:c r="D295" s="34" t="str">
        <x:v>'@tempodotco Kalau begitu boleh dong rakyat kelas menengah ke bawah minta tambahan anggaran per keluarga buat tambah gizi biar rakyat sehat sehingga bisa menekan biaya pengobatan. 
😇😇</x:v>
      </x:c>
      <x:c r="E295" s="40" t="str"/>
      <x:c r="F295" s="40" t="str"/>
      <x:c r="G295" s="40" t="str"/>
      <x:c r="H295" s="40" t="str"/>
      <x:c r="I295" s="40" t="str"/>
      <x:c r="J295" s="34" t="str">
        <x:v>A2</x:v>
      </x:c>
      <x:c r="K295" s="34" t="str">
        <x:v>1.0</x:v>
      </x:c>
      <x:c r="L295" s="35" t="str">
        <x:f>IF(AND(E295="",F295="",G295="",H295="",I295=""),"",IF(OR(AND(H295="UNCLEAR",E295="",F295="",G295="",I295&lt;&gt;""),AND(H295="LABELED",COUNTIFS(Taksonomi!$A$5:$A$13,E295,Taksonomi!$B$5:$B$13,F295)=1,OR(G295="",AND(COUNTIF(Taksonomi!$D$4:$D$6,G295)=1,G295&lt;&gt;E295)))),"OK","PERIKSA"))</x:f>
      </x:c>
    </x:row>
    <x:row r="296" ht="145" customHeight="1">
      <x:c r="A296" s="34" t="str">
        <x:v>1968618971206402431</x:v>
      </x:c>
      <x:c r="B296" s="34" t="str">
        <x:v>1968615361353322829</x:v>
      </x:c>
      <x:c r="C296" s="34" t="str">
        <x:v>Sejak Januari 2025, sudah ada 17 kasus keracunan MBG di 10 provinsi.
Korbannya lebih dari 4.000 siswa Dari TK sampai SMA.
@prabowo mau sampai kapan anak-anak jadi korban keracunan program ugal-ugalan ini?</x:v>
      </x:c>
      <x:c r="D296" s="34" t="str">
        <x:v>'@barengwarga @prabowo mereka meminimalisasi bahan baku , adapun makanan sisa atau lebih disajikan dua kali. 
Akhirnya keracunan . 
Program dari target dapur n pembayaran pemerintah suka telat. Itu kata Dapur MBG. 
Seharusnya mbg diserahkan kewarung2 n katering2  sekitar sekolahan dengan penjadwalan .</x:v>
      </x:c>
      <x:c r="E296" s="40" t="str"/>
      <x:c r="F296" s="40" t="str"/>
      <x:c r="G296" s="40" t="str"/>
      <x:c r="H296" s="40" t="str"/>
      <x:c r="I296" s="40" t="str"/>
      <x:c r="J296" s="34" t="str">
        <x:v>A2</x:v>
      </x:c>
      <x:c r="K296" s="34" t="str">
        <x:v>1.0</x:v>
      </x:c>
      <x:c r="L296" s="35" t="str">
        <x:f>IF(AND(E296="",F296="",G296="",H296="",I296=""),"",IF(OR(AND(H296="UNCLEAR",E296="",F296="",G296="",I296&lt;&gt;""),AND(H296="LABELED",COUNTIFS(Taksonomi!$A$5:$A$13,E296,Taksonomi!$B$5:$B$13,F296)=1,OR(G296="",AND(COUNTIF(Taksonomi!$D$4:$D$6,G296)=1,G296&lt;&gt;E296)))),"OK","PERIKSA"))</x:f>
      </x:c>
    </x:row>
    <x:row r="297" ht="145" customHeight="1">
      <x:c r="A297" s="34" t="str">
        <x:v>1974420350881693800</x:v>
      </x:c>
      <x:c r="B297" s="34" t="str">
        <x:v>1974086585424752775</x:v>
      </x:c>
      <x:c r="C297" s="34" t="str">
        <x:v>Sejumlah orang tua siswa SDN Kota Baru 3, Kota Bekasi, memilih tidak lagi mengizinkan anak mereka mengonsumsi makanan dari program MBG setelah diduga menjadi penyebab keracunan pada beberapa murid.
Baca selengkapnya 👇
https://t.co/naEmR0JRYt
~LL #MBG #Bekasi https://t.co/km5RADzTwm</x:v>
      </x:c>
      <x:c r="D297" s="34" t="str">
        <x:v>'@kompascom Heee.... Us cerdas biar semua anggaran di hbiskan pejabat yg rakus dan culas</x:v>
      </x:c>
      <x:c r="E297" s="40" t="str"/>
      <x:c r="F297" s="40" t="str"/>
      <x:c r="G297" s="40" t="str"/>
      <x:c r="H297" s="40" t="str"/>
      <x:c r="I297" s="40" t="str"/>
      <x:c r="J297" s="34" t="str">
        <x:v>A2</x:v>
      </x:c>
      <x:c r="K297" s="34" t="str">
        <x:v>1.0</x:v>
      </x:c>
      <x:c r="L297" s="35" t="str">
        <x:f>IF(AND(E297="",F297="",G297="",H297="",I297=""),"",IF(OR(AND(H297="UNCLEAR",E297="",F297="",G297="",I297&lt;&gt;""),AND(H297="LABELED",COUNTIFS(Taksonomi!$A$5:$A$13,E297,Taksonomi!$B$5:$B$13,F297)=1,OR(G297="",AND(COUNTIF(Taksonomi!$D$4:$D$6,G297)=1,G297&lt;&gt;E297)))),"OK","PERIKSA"))</x:f>
      </x:c>
    </x:row>
    <x:row r="298" ht="145" customHeight="1">
      <x:c r="A298" s="34" t="str">
        <x:v>1971753839545237620</x:v>
      </x:c>
      <x:c r="B298" s="34" t="str">
        <x:v>1971543596244623542</x:v>
      </x:c>
      <x:c r="C298" s="34" t="str">
        <x:v>"Mau punyanya jenderal, mau punyanya siapa, kalau melanggar, akan saya tutup. Saya enggak peduli. Karena ini nyangkut nyawa manusia," ujar Nanik
Klik untuk baca: https://t.co/feWh0ycakM
| #Jenderal #BadanGiziNasional #MakanBergiziGratis https://t.co/v02UFU3MV5</x:v>
      </x:c>
      <x:c r="D298" s="34" t="str">
        <x:v>'@kompascom Ternyata membual itu penyakit menular.  Menular dikalangan sendiri maksudnya. 
.</x:v>
      </x:c>
      <x:c r="E298" s="40" t="str"/>
      <x:c r="F298" s="40" t="str"/>
      <x:c r="G298" s="40" t="str"/>
      <x:c r="H298" s="40" t="str"/>
      <x:c r="I298" s="40" t="str"/>
      <x:c r="J298" s="34" t="str">
        <x:v>A2</x:v>
      </x:c>
      <x:c r="K298" s="34" t="str">
        <x:v>1.0</x:v>
      </x:c>
      <x:c r="L298" s="35" t="str">
        <x:f>IF(AND(E298="",F298="",G298="",H298="",I298=""),"",IF(OR(AND(H298="UNCLEAR",E298="",F298="",G298="",I298&lt;&gt;""),AND(H298="LABELED",COUNTIFS(Taksonomi!$A$5:$A$13,E298,Taksonomi!$B$5:$B$13,F298)=1,OR(G298="",AND(COUNTIF(Taksonomi!$D$4:$D$6,G298)=1,G298&lt;&gt;E298)))),"OK","PERIKSA"))</x:f>
      </x:c>
    </x:row>
    <x:row r="299" ht="145" customHeight="1">
      <x:c r="A299" s="34" t="str">
        <x:v>1876558688787558724</x:v>
      </x:c>
      <x:c r="B299" s="34" t="str">
        <x:v>1876276342163185879</x:v>
      </x:c>
      <x:c r="C299" s="34" t="str">
        <x:v>Istana: Makan Bergizi Gratis di Sejumlah Daerah Masih Pakai Uang Prabowo | #PrabowoSubianto #MakanBergiziGratis https://t.co/Y4aiOEWsAj</x:v>
      </x:c>
      <x:c r="D299" s="34" t="str">
        <x:v>'@kompascom Tolong dimintakan laporan /audit keuangannya 
Besar dana yg dipakai untuk program ini berapa
Sumber dana masingx2 berapa detilnya (APBN, pribadi)
Menyasar sekolah mana saja,
Dalam 1 sekolah detil siswa yg mendapat paket makan berapa orang dari keseluruhan
Menu dan supplier ?</x:v>
      </x:c>
      <x:c r="E299" s="40" t="str"/>
      <x:c r="F299" s="40" t="str"/>
      <x:c r="G299" s="40" t="str"/>
      <x:c r="H299" s="40" t="str"/>
      <x:c r="I299" s="40" t="str"/>
      <x:c r="J299" s="34" t="str">
        <x:v>A2</x:v>
      </x:c>
      <x:c r="K299" s="34" t="str">
        <x:v>1.0</x:v>
      </x:c>
      <x:c r="L299" s="35" t="str">
        <x:f>IF(AND(E299="",F299="",G299="",H299="",I299=""),"",IF(OR(AND(H299="UNCLEAR",E299="",F299="",G299="",I299&lt;&gt;""),AND(H299="LABELED",COUNTIFS(Taksonomi!$A$5:$A$13,E299,Taksonomi!$B$5:$B$13,F299)=1,OR(G299="",AND(COUNTIF(Taksonomi!$D$4:$D$6,G299)=1,G299&lt;&gt;E299)))),"OK","PERIKSA"))</x:f>
      </x:c>
    </x:row>
    <x:row r="300" ht="145" customHeight="1">
      <x:c r="A300" s="34" t="str">
        <x:v>1975025585173979462</x:v>
      </x:c>
      <x:c r="B300" s="34" t="str">
        <x:v>1974775262580740581</x:v>
      </x:c>
      <x:c r="C300" s="34" t="str">
        <x:v>Menteri Keuangan Purbaya Yudhi Sadewa menyatakan akan tetap memotong anggaran program Makan Bergizi Gratis (MBG) jika tidak terserap hingga akhir Oktober 2025.
Baca di sini: https://t.co/pgviQpEu39 
/ #PurbayaYudhiSadewa #MakanBergiziGratis https://t.co/Xr9wAhqG9M</x:v>
      </x:c>
      <x:c r="D300" s="34" t="str">
        <x:v>'@kompascom Berartijangan buru2 d sah kan penambahan anggaran em be ge sebelum kasus keracunan masal terselesaikan....</x:v>
      </x:c>
      <x:c r="E300" s="40" t="str"/>
      <x:c r="F300" s="40" t="str"/>
      <x:c r="G300" s="40" t="str"/>
      <x:c r="H300" s="40" t="str"/>
      <x:c r="I300" s="40" t="str"/>
      <x:c r="J300" s="34" t="str">
        <x:v>A2</x:v>
      </x:c>
      <x:c r="K300" s="34" t="str">
        <x:v>1.0</x:v>
      </x:c>
      <x:c r="L300" s="35" t="str">
        <x:f>IF(AND(E300="",F300="",G300="",H300="",I300=""),"",IF(OR(AND(H300="UNCLEAR",E300="",F300="",G300="",I300&lt;&gt;""),AND(H300="LABELED",COUNTIFS(Taksonomi!$A$5:$A$13,E300,Taksonomi!$B$5:$B$13,F300)=1,OR(G300="",AND(COUNTIF(Taksonomi!$D$4:$D$6,G300)=1,G300&lt;&gt;E300)))),"OK","PERIKSA"))</x:f>
      </x:c>
    </x:row>
    <x:row r="301" ht="145" customHeight="1">
      <x:c r="A301" s="34" t="str">
        <x:v>1805159596895723820</x:v>
      </x:c>
      <x:c r="B301" s="34" t="str">
        <x:v>1805116723743580405</x:v>
      </x:c>
      <x:c r="C301" s="34" t="str">
        <x:v>Menteri Keuangan Sri Mulyani Indrawati mengumumkan pemerintah saat ini dan presiden terpilih menyepakati anggaran makan bergizi gratis sebesar Rp 71 triliun pada 2025.
#TempoHeadliner https://t.co/9FefbrHgIo</x:v>
      </x:c>
      <x:c r="D301" s="34" t="str">
        <x:v>'@tempodotco 71 trilyun padahal kayaknya bisa tuh buat biaya kuliah biar bisa murah atau bahkan gratis</x:v>
      </x:c>
      <x:c r="E301" s="40" t="str"/>
      <x:c r="F301" s="40" t="str"/>
      <x:c r="G301" s="40" t="str"/>
      <x:c r="H301" s="40" t="str"/>
      <x:c r="I301" s="40" t="str"/>
      <x:c r="J301" s="34" t="str">
        <x:v>A2</x:v>
      </x:c>
      <x:c r="K301" s="34" t="str">
        <x:v>1.0</x:v>
      </x:c>
      <x:c r="L301" s="35" t="str">
        <x:f>IF(AND(E301="",F301="",G301="",H301="",I301=""),"",IF(OR(AND(H301="UNCLEAR",E301="",F301="",G301="",I301&lt;&gt;""),AND(H301="LABELED",COUNTIFS(Taksonomi!$A$5:$A$13,E301,Taksonomi!$B$5:$B$13,F301)=1,OR(G301="",AND(COUNTIF(Taksonomi!$D$4:$D$6,G301)=1,G301&lt;&gt;E301)))),"OK","PERIKSA"))</x:f>
      </x:c>
    </x:row>
    <x:row r="302" ht="145" customHeight="1">
      <x:c r="A302" s="34" t="str">
        <x:v>1879825905914433613</x:v>
      </x:c>
      <x:c r="B302" s="34" t="str">
        <x:v>1879818088931266667</x:v>
      </x:c>
      <x:c r="C302" s="34" t="str">
        <x:v>Puluhan siswa Sekolah Dasar (SD) Negeri Dukuh 03, Kabupaten Sukoharjo, Jawa Tengah, mengalami keracunan setelah mengonsumsi menu Makan Bergizi Gratis (MBG) pada Kamis (16/1/2025).
&amp;lt; #MakanBergiziGratis #Sukoharjo 
https://t.co/9FeSjxyNNE</x:v>
      </x:c>
      <x:c r="D302" s="34" t="str">
        <x:v>'@kompascom Makanannya seharga 10 ribu, berobatnya habis 200 ribu, emaknya tekor 🤣</x:v>
      </x:c>
      <x:c r="E302" s="40" t="str"/>
      <x:c r="F302" s="40" t="str"/>
      <x:c r="G302" s="40" t="str"/>
      <x:c r="H302" s="40" t="str"/>
      <x:c r="I302" s="40" t="str"/>
      <x:c r="J302" s="34" t="str">
        <x:v>A2</x:v>
      </x:c>
      <x:c r="K302" s="34" t="str">
        <x:v>1.0</x:v>
      </x:c>
      <x:c r="L302" s="35" t="str">
        <x:f>IF(AND(E302="",F302="",G302="",H302="",I302=""),"",IF(OR(AND(H302="UNCLEAR",E302="",F302="",G302="",I302&lt;&gt;""),AND(H302="LABELED",COUNTIFS(Taksonomi!$A$5:$A$13,E302,Taksonomi!$B$5:$B$13,F302)=1,OR(G302="",AND(COUNTIF(Taksonomi!$D$4:$D$6,G302)=1,G302&lt;&gt;E302)))),"OK","PERIKSA"))</x:f>
      </x:c>
    </x:row>
    <x:row r="303" ht="145" customHeight="1">
      <x:c r="A303" s="34" t="str">
        <x:v>1867808732794827262</x:v>
      </x:c>
      <x:c r="B303" s="34" t="str">
        <x:v>1867792861179290083</x:v>
      </x:c>
      <x:c r="C303" s="34" t="str">
        <x:v>Cak Imin Bilang Anggaran Makan Bergizi Gratis Rp 10 Ribu per Porsi Masih Simulasi
https://t.co/NhHGSAy4Ew</x:v>
      </x:c>
      <x:c r="D303" s="34" t="str">
        <x:v>'@tempodotco Polemiknya cuma di kalimat "makan gratis" klau 10.000 ningkatin gizi yaa tidak layak ... Krna konsepnya harus makan ...
Ganti programnya dengan "peningkatan gizi anak sekolah" 10.000 tiap hari itu cukup ...</x:v>
      </x:c>
      <x:c r="E303" s="40" t="str"/>
      <x:c r="F303" s="40" t="str"/>
      <x:c r="G303" s="40" t="str"/>
      <x:c r="H303" s="40" t="str"/>
      <x:c r="I303" s="40" t="str"/>
      <x:c r="J303" s="34" t="str">
        <x:v>A2</x:v>
      </x:c>
      <x:c r="K303" s="34" t="str">
        <x:v>1.0</x:v>
      </x:c>
      <x:c r="L303" s="35" t="str">
        <x:f>IF(AND(E303="",F303="",G303="",H303="",I303=""),"",IF(OR(AND(H303="UNCLEAR",E303="",F303="",G303="",I303&lt;&gt;""),AND(H303="LABELED",COUNTIFS(Taksonomi!$A$5:$A$13,E303,Taksonomi!$B$5:$B$13,F303)=1,OR(G303="",AND(COUNTIF(Taksonomi!$D$4:$D$6,G303)=1,G303&lt;&gt;E303)))),"OK","PERIKSA"))</x:f>
      </x:c>
    </x:row>
    <x:row r="304" ht="145" customHeight="1">
      <x:c r="A304" s="34" t="str">
        <x:v>2011578355930579073</x:v>
      </x:c>
      <x:c r="B304" s="34" t="str">
        <x:v>2010970065609359372</x:v>
      </x:c>
      <x:c r="C304" s="34" t="str">
        <x:v>Prabowo mengklaim proyek MBG sebagai salah satu keberhasilannya.
#Tempodotco https://t.co/i3flDy1oeb</x:v>
      </x:c>
      <x:c r="D304" s="34" t="str">
        <x:v>'@tempodotco Brp persen yg di 3T pak?</x:v>
      </x:c>
      <x:c r="E304" s="40" t="str"/>
      <x:c r="F304" s="40" t="str"/>
      <x:c r="G304" s="40" t="str"/>
      <x:c r="H304" s="40" t="str"/>
      <x:c r="I304" s="40" t="str"/>
      <x:c r="J304" s="34" t="str">
        <x:v>A2</x:v>
      </x:c>
      <x:c r="K304" s="34" t="str">
        <x:v>1.0</x:v>
      </x:c>
      <x:c r="L304" s="35" t="str">
        <x:f>IF(AND(E304="",F304="",G304="",H304="",I304=""),"",IF(OR(AND(H304="UNCLEAR",E304="",F304="",G304="",I304&lt;&gt;""),AND(H304="LABELED",COUNTIFS(Taksonomi!$A$5:$A$13,E304,Taksonomi!$B$5:$B$13,F304)=1,OR(G304="",AND(COUNTIF(Taksonomi!$D$4:$D$6,G304)=1,G304&lt;&gt;E304)))),"OK","PERIKSA"))</x:f>
      </x:c>
    </x:row>
    <x:row r="305" ht="145" customHeight="1">
      <x:c r="A305" s="34" t="str">
        <x:v>2018750994512065006</x:v>
      </x:c>
      <x:c r="B305" s="34" t="str">
        <x:v>2018263126114754614</x:v>
      </x:c>
      <x:c r="C305" s="34" t="str">
        <x:v>Prabowo Singgung Lagi Distribusi MBG di Sumbar dan Aceh
“Buktinya saya kalah di Sumatera Barat, benar? Tapi tetap MBG sampai ke Sumatera Barat. Saya juga kalah di Aceh, kan? Tapi tetap kami bangun Aceh habis-habisan,” ucapnya. https://t.co/TAuI15TtaK</x:v>
      </x:c>
      <x:c r="D305" s="34" t="str">
        <x:v>'@tempodotco Idealnya, kalo udah menjabat ngga perlu lagi tuh mengungkit skor politik di masa lalu. Tugas negara ya harus dijalankan, titik. Mengungkit kekalahan malah terkesan belum bisa "move on" sepenuhnya. Alih-alih menghapus stigma "pilih-kasih", di sini Prabowo malah keliatan "baper".</x:v>
      </x:c>
      <x:c r="E305" s="40" t="str"/>
      <x:c r="F305" s="40" t="str"/>
      <x:c r="G305" s="40" t="str"/>
      <x:c r="H305" s="40" t="str"/>
      <x:c r="I305" s="40" t="str"/>
      <x:c r="J305" s="34" t="str">
        <x:v>A2</x:v>
      </x:c>
      <x:c r="K305" s="34" t="str">
        <x:v>1.0</x:v>
      </x:c>
      <x:c r="L305" s="35" t="str">
        <x:f>IF(AND(E305="",F305="",G305="",H305="",I305=""),"",IF(OR(AND(H305="UNCLEAR",E305="",F305="",G305="",I305&lt;&gt;""),AND(H305="LABELED",COUNTIFS(Taksonomi!$A$5:$A$13,E305,Taksonomi!$B$5:$B$13,F305)=1,OR(G305="",AND(COUNTIF(Taksonomi!$D$4:$D$6,G305)=1,G305&lt;&gt;E305)))),"OK","PERIKSA"))</x:f>
      </x:c>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L2"/>
    <x:mergeCell ref="A3:L3"/>
  </x:mergeCells>
  <x:conditionalFormatting sqref="L6:L305">
    <x:cfRule type="expression" dxfId="0" priority="1">
      <x:formula>L6="PERIKSA"</x:formula>
    </x:cfRule>
    <x:cfRule type="expression" dxfId="1" priority="2">
      <x:formula>L6="OK"</x:formula>
    </x:cfRule>
  </x:conditionalFormatting>
  <x:dataValidations count="4">
    <x:dataValidation type="list" sqref="E6:E305">
      <x:formula1>Taksonomi!$D$4:$D$6</x:formula1>
    </x:dataValidation>
    <x:dataValidation type="list" sqref="G6:G305">
      <x:formula1>Taksonomi!$D$4:$D$6</x:formula1>
    </x:dataValidation>
    <x:dataValidation type="list" sqref="F6:F305">
      <x:formula1>Taksonomi!$B$5:$B$13</x:formula1>
    </x:dataValidation>
    <x:dataValidation type="list" sqref="H6:H305">
      <x:formula1>"LABELED,UNCLEAR"</x:formula1>
    </x:dataValidation>
  </x:dataValidations>
  <x:pageMargins left="0.7" right="0.7" top="0.75" bottom="0.75" header="0.3" footer="0.3"/>
  <x:tableParts count="1">
    <x:tablePart xmlns:r="http://schemas.openxmlformats.org/officeDocument/2006/relationships" r:id="R4c8be96c302d440c"/>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62.13999938964844" hidden="0" customWidth="1"/>
    <x:col min="3" max="3" width="2.859999895095825" hidden="0" customWidth="1"/>
    <x:col min="4" max="4" width="27.860000610351562" hidden="0" customWidth="1"/>
  </x:cols>
  <x:sheetData>
    <x:row r="1" ht="34" customHeight="1">
      <x:c r="A1" s="10" t="str">
        <x:v>Taksonomi / Panduan 1.0</x:v>
      </x:c>
      <x:c r="B1" s="10" t="str">
        <x:v>Taksonomi / Panduan 1.0</x:v>
      </x:c>
      <x:c r="C1" s="4"/>
      <x:c r="D1" s="4"/>
      <x:c r="E1" s="4"/>
      <x:c r="F1" s="4"/>
      <x:c r="G1" s="4"/>
      <x:c r="H1" s="4"/>
      <x:c r="I1" s="4"/>
      <x:c r="J1" s="4"/>
      <x:c r="K1" s="4"/>
      <x:c r="L1" s="4"/>
    </x:row>
    <x:row r="2" ht="34" customHeight="1">
      <x:c r="A2" s="10" t="str">
        <x:v>Taksonomi / Panduan 1.0</x:v>
      </x:c>
      <x:c r="B2" s="10" t="str">
        <x:v>Taksonomi / Panduan 1.0</x:v>
      </x:c>
      <x:c r="C2" s="4"/>
      <x:c r="D2" s="4"/>
      <x:c r="E2" s="4"/>
      <x:c r="F2" s="4"/>
      <x:c r="G2" s="4"/>
      <x:c r="H2" s="4"/>
      <x:c r="I2" s="4"/>
      <x:c r="J2" s="4"/>
      <x:c r="K2" s="4"/>
      <x:c r="L2" s="4"/>
    </x:row>
    <x:row r="3">
      <x:c r="A3" s="4"/>
      <x:c r="B3" s="4"/>
      <x:c r="C3" s="4"/>
      <x:c r="D3" s="4" t="str">
        <x:v>Kategori dropdown</x:v>
      </x:c>
      <x:c r="E3" s="4"/>
      <x:c r="F3" s="4"/>
      <x:c r="G3" s="4"/>
      <x:c r="H3" s="4"/>
      <x:c r="I3" s="4"/>
      <x:c r="J3" s="4"/>
      <x:c r="K3" s="4"/>
      <x:c r="L3" s="4"/>
    </x:row>
    <x:row r="4" ht="32" customHeight="1">
      <x:c r="A4" s="26" t="str">
        <x:v>Kategori utama</x:v>
      </x:c>
      <x:c r="B4" s="26" t="str">
        <x:v>Subkategori primer</x:v>
      </x:c>
      <x:c r="C4" s="4"/>
      <x:c r="D4" s="4" t="str">
        <x:v>Mutu_Gizi</x:v>
      </x:c>
      <x:c r="E4" s="4"/>
      <x:c r="F4" s="4"/>
      <x:c r="G4" s="4"/>
      <x:c r="H4" s="4"/>
      <x:c r="I4" s="4"/>
      <x:c r="J4" s="4"/>
      <x:c r="K4" s="4"/>
      <x:c r="L4" s="4"/>
    </x:row>
    <x:row r="5" ht="30" customHeight="1">
      <x:c r="A5" s="4" t="str">
        <x:v>Mutu_Gizi</x:v>
      </x:c>
      <x:c r="B5" s="4" t="str">
        <x:v>Kecukupan_Porsi_dan_Nutrisi</x:v>
      </x:c>
      <x:c r="C5" s="4"/>
      <x:c r="D5" s="4" t="str">
        <x:v>Tata_Kelola</x:v>
      </x:c>
      <x:c r="E5" s="4"/>
      <x:c r="F5" s="4"/>
      <x:c r="G5" s="4"/>
      <x:c r="H5" s="4"/>
      <x:c r="I5" s="4"/>
      <x:c r="J5" s="4"/>
      <x:c r="K5" s="4"/>
      <x:c r="L5" s="4"/>
    </x:row>
    <x:row r="6" ht="30" customHeight="1">
      <x:c r="A6" s="4" t="str">
        <x:v>Mutu_Gizi</x:v>
      </x:c>
      <x:c r="B6" s="4" t="str">
        <x:v>Variasi_dan_Rasa_Menu</x:v>
      </x:c>
      <x:c r="C6" s="4"/>
      <x:c r="D6" s="4" t="str">
        <x:v>Distribusi</x:v>
      </x:c>
      <x:c r="E6" s="4"/>
      <x:c r="F6" s="4"/>
      <x:c r="G6" s="4"/>
      <x:c r="H6" s="4"/>
      <x:c r="I6" s="4"/>
      <x:c r="J6" s="4"/>
      <x:c r="K6" s="4"/>
      <x:c r="L6" s="4"/>
    </x:row>
    <x:row r="7" ht="30" customHeight="1">
      <x:c r="A7" s="4" t="str">
        <x:v>Mutu_Gizi</x:v>
      </x:c>
      <x:c r="B7" s="4" t="str">
        <x:v>Keamanan_Konsumsi</x:v>
      </x:c>
      <x:c r="C7" s="4"/>
      <x:c r="D7" s="4"/>
      <x:c r="E7" s="4"/>
      <x:c r="F7" s="4"/>
      <x:c r="G7" s="4"/>
      <x:c r="H7" s="4"/>
      <x:c r="I7" s="4"/>
      <x:c r="J7" s="4"/>
      <x:c r="K7" s="4"/>
      <x:c r="L7" s="4"/>
    </x:row>
    <x:row r="8" ht="30" customHeight="1">
      <x:c r="A8" s="4" t="str">
        <x:v>Tata_Kelola</x:v>
      </x:c>
      <x:c r="B8" s="4" t="str">
        <x:v>Standardisasi_Vendor_dan_Dapur</x:v>
      </x:c>
      <x:c r="C8" s="4"/>
      <x:c r="D8" s="4"/>
      <x:c r="E8" s="4"/>
      <x:c r="F8" s="4"/>
      <x:c r="G8" s="4"/>
      <x:c r="H8" s="4"/>
      <x:c r="I8" s="4"/>
      <x:c r="J8" s="4"/>
      <x:c r="K8" s="4"/>
      <x:c r="L8" s="4"/>
    </x:row>
    <x:row r="9" ht="30" customHeight="1">
      <x:c r="A9" s="4" t="str">
        <x:v>Tata_Kelola</x:v>
      </x:c>
      <x:c r="B9" s="4" t="str">
        <x:v>Transparansi_dan_Efisiensi_Anggaran</x:v>
      </x:c>
      <x:c r="C9" s="4"/>
      <x:c r="D9" s="4"/>
      <x:c r="E9" s="4"/>
      <x:c r="F9" s="4"/>
      <x:c r="G9" s="4"/>
      <x:c r="H9" s="4"/>
      <x:c r="I9" s="4"/>
      <x:c r="J9" s="4"/>
      <x:c r="K9" s="4"/>
      <x:c r="L9" s="4"/>
    </x:row>
    <x:row r="10" ht="30" customHeight="1">
      <x:c r="A10" s="4" t="str">
        <x:v>Tata_Kelola</x:v>
      </x:c>
      <x:c r="B10" s="4" t="str">
        <x:v>Responsivitas_Aduan</x:v>
      </x:c>
      <x:c r="C10" s="4"/>
      <x:c r="D10" s="4"/>
      <x:c r="E10" s="4"/>
      <x:c r="F10" s="4"/>
      <x:c r="G10" s="4"/>
      <x:c r="H10" s="4"/>
      <x:c r="I10" s="4"/>
      <x:c r="J10" s="4"/>
      <x:c r="K10" s="4"/>
      <x:c r="L10" s="4"/>
    </x:row>
    <x:row r="11" ht="30" customHeight="1">
      <x:c r="A11" s="4" t="str">
        <x:v>Distribusi</x:v>
      </x:c>
      <x:c r="B11" s="4" t="str">
        <x:v>Ketepatan_Waktu_Logistik</x:v>
      </x:c>
      <x:c r="C11" s="4"/>
      <x:c r="D11" s="4"/>
      <x:c r="E11" s="4"/>
      <x:c r="F11" s="4"/>
      <x:c r="G11" s="4"/>
      <x:c r="H11" s="4"/>
      <x:c r="I11" s="4"/>
      <x:c r="J11" s="4"/>
      <x:c r="K11" s="4"/>
      <x:c r="L11" s="4"/>
    </x:row>
    <x:row r="12" ht="30" customHeight="1">
      <x:c r="A12" s="4" t="str">
        <x:v>Distribusi</x:v>
      </x:c>
      <x:c r="B12" s="4" t="str">
        <x:v>Pemerataan_Jangkauan_3T</x:v>
      </x:c>
      <x:c r="C12" s="4"/>
      <x:c r="D12" s="4"/>
      <x:c r="E12" s="4"/>
      <x:c r="F12" s="4"/>
      <x:c r="G12" s="4"/>
      <x:c r="H12" s="4"/>
      <x:c r="I12" s="4"/>
      <x:c r="J12" s="4"/>
      <x:c r="K12" s="4"/>
      <x:c r="L12" s="4"/>
    </x:row>
    <x:row r="13" ht="30" customHeight="1">
      <x:c r="A13" s="4" t="str">
        <x:v>Distribusi</x:v>
      </x:c>
      <x:c r="B13" s="4" t="str">
        <x:v>Kondisi_Fisik_dan_Pembagian</x:v>
      </x:c>
      <x:c r="C13" s="4"/>
      <x:c r="D13" s="4"/>
      <x:c r="E13" s="4"/>
      <x:c r="F13" s="4"/>
      <x:c r="G13" s="4"/>
      <x:c r="H13" s="4"/>
      <x:c r="I13" s="4"/>
      <x:c r="J13" s="4"/>
      <x:c r="K13" s="4"/>
      <x:c r="L13" s="4"/>
    </x:row>
    <x:row r="14">
      <x:c r="A14" s="4"/>
      <x:c r="B14" s="4"/>
      <x:c r="C14" s="4"/>
      <x:c r="D14" s="4"/>
      <x:c r="E14" s="4"/>
      <x:c r="F14" s="4"/>
      <x:c r="G14" s="4"/>
      <x:c r="H14" s="4"/>
      <x:c r="I14" s="4"/>
      <x:c r="J14" s="4"/>
      <x:c r="K14" s="4"/>
      <x:c r="L14" s="4"/>
    </x:row>
    <x:row r="15">
      <x:c r="A15" s="4"/>
      <x:c r="B15" s="4"/>
      <x:c r="C15" s="4"/>
      <x:c r="D15" s="4"/>
      <x:c r="E15" s="4"/>
      <x:c r="F15" s="4"/>
      <x:c r="G15" s="4"/>
      <x:c r="H15" s="4"/>
      <x:c r="I15" s="4"/>
      <x:c r="J15" s="4"/>
      <x:c r="K15" s="4"/>
      <x:c r="L15" s="4"/>
    </x:row>
    <x:row r="16">
      <x:c r="A16" s="4"/>
      <x:c r="B16" s="4"/>
      <x:c r="C16" s="4"/>
      <x:c r="D16" s="4"/>
      <x:c r="E16" s="4"/>
      <x:c r="F16" s="4"/>
      <x:c r="G16" s="4"/>
      <x:c r="H16" s="4"/>
      <x:c r="I16" s="4"/>
      <x:c r="J16" s="4"/>
      <x:c r="K16" s="4"/>
      <x:c r="L16" s="4"/>
    </x:row>
    <x:row r="17">
      <x:c r="A17" s="4"/>
      <x:c r="B17" s="4"/>
      <x:c r="C17" s="4"/>
      <x:c r="D17" s="4"/>
      <x:c r="E17" s="4"/>
      <x:c r="F17" s="4"/>
      <x:c r="G17" s="4"/>
      <x:c r="H17" s="4"/>
      <x:c r="I17" s="4"/>
      <x:c r="J17" s="4"/>
      <x:c r="K17" s="4"/>
      <x:c r="L17" s="4"/>
    </x:row>
    <x:row r="18">
      <x:c r="A18" s="4"/>
      <x:c r="B18" s="4"/>
      <x:c r="C18" s="4"/>
      <x:c r="D18" s="4"/>
      <x:c r="E18" s="4"/>
      <x:c r="F18" s="4"/>
      <x:c r="G18" s="4"/>
      <x:c r="H18" s="4"/>
      <x:c r="I18" s="4"/>
      <x:c r="J18" s="4"/>
      <x:c r="K18" s="4"/>
      <x:c r="L18" s="4"/>
    </x:row>
    <x:row r="19">
      <x:c r="A19" s="4"/>
      <x:c r="B19" s="4"/>
      <x:c r="C19" s="4"/>
      <x:c r="D19" s="4"/>
      <x:c r="E19" s="4"/>
      <x:c r="F19" s="4"/>
      <x:c r="G19" s="4"/>
      <x:c r="H19" s="4"/>
      <x:c r="I19" s="4"/>
      <x:c r="J19" s="4"/>
      <x:c r="K19" s="4"/>
      <x:c r="L19" s="4"/>
    </x:row>
    <x:row r="20">
      <x:c r="A20" s="4"/>
      <x:c r="B20" s="4"/>
      <x:c r="C20" s="4"/>
      <x:c r="D20" s="4"/>
      <x:c r="E20" s="4"/>
      <x:c r="F20" s="4"/>
      <x:c r="G20" s="4"/>
      <x:c r="H20" s="4"/>
      <x:c r="I20" s="4"/>
      <x:c r="J20" s="4"/>
      <x:c r="K20" s="4"/>
      <x:c r="L20" s="4"/>
    </x:row>
    <x:row r="21">
      <x:c r="A21" s="4"/>
      <x:c r="B21" s="4"/>
      <x:c r="C21" s="4"/>
      <x:c r="D21" s="4"/>
      <x:c r="E21" s="4"/>
      <x:c r="F21" s="4"/>
      <x:c r="G21" s="4"/>
      <x:c r="H21" s="4"/>
      <x:c r="I21" s="4"/>
      <x:c r="J21" s="4"/>
      <x:c r="K21" s="4"/>
      <x:c r="L21" s="4"/>
    </x:row>
    <x:row r="22">
      <x:c r="A22" s="4"/>
      <x:c r="B22" s="4"/>
      <x:c r="C22" s="4"/>
      <x:c r="D22" s="4"/>
      <x:c r="E22" s="4"/>
      <x:c r="F22" s="4"/>
      <x:c r="G22" s="4"/>
      <x:c r="H22" s="4"/>
      <x:c r="I22" s="4"/>
      <x:c r="J22" s="4"/>
      <x:c r="K22" s="4"/>
      <x:c r="L22" s="4"/>
    </x:row>
    <x:row r="23">
      <x:c r="A23" s="4"/>
      <x:c r="B23" s="4"/>
      <x:c r="C23" s="4"/>
      <x:c r="D23" s="4"/>
      <x:c r="E23" s="4"/>
      <x:c r="F23" s="4"/>
      <x:c r="G23" s="4"/>
      <x:c r="H23" s="4"/>
      <x:c r="I23" s="4"/>
      <x:c r="J23" s="4"/>
      <x:c r="K23" s="4"/>
      <x:c r="L23" s="4"/>
    </x:row>
    <x:row r="24">
      <x:c r="A24" s="4"/>
      <x:c r="B24" s="4"/>
      <x:c r="C24" s="4"/>
      <x:c r="D24" s="4"/>
      <x:c r="E24" s="4"/>
      <x:c r="F24" s="4"/>
      <x:c r="G24" s="4"/>
      <x:c r="H24" s="4"/>
      <x:c r="I24" s="4"/>
      <x:c r="J24" s="4"/>
      <x:c r="K24" s="4"/>
      <x:c r="L24" s="4"/>
    </x:row>
    <x:row r="25">
      <x:c r="A25" s="4"/>
      <x:c r="B25" s="4"/>
      <x:c r="C25" s="4"/>
      <x:c r="D25" s="4"/>
      <x:c r="E25" s="4"/>
      <x:c r="F25" s="4"/>
      <x:c r="G25" s="4"/>
      <x:c r="H25" s="4"/>
      <x:c r="I25" s="4"/>
      <x:c r="J25" s="4"/>
      <x:c r="K25" s="4"/>
      <x:c r="L25" s="4"/>
    </x:row>
    <x:row r="26">
      <x:c r="A26" s="4"/>
      <x:c r="B26" s="4"/>
      <x:c r="C26" s="4"/>
      <x:c r="D26" s="4"/>
      <x:c r="E26" s="4"/>
      <x:c r="F26" s="4"/>
      <x:c r="G26" s="4"/>
      <x:c r="H26" s="4"/>
      <x:c r="I26" s="4"/>
      <x:c r="J26" s="4"/>
      <x:c r="K26" s="4"/>
      <x:c r="L26" s="4"/>
    </x:row>
    <x:row r="27">
      <x:c r="A27" s="4"/>
      <x:c r="B27" s="4"/>
      <x:c r="C27" s="4"/>
      <x:c r="D27" s="4"/>
      <x:c r="E27" s="4"/>
      <x:c r="F27" s="4"/>
      <x:c r="G27" s="4"/>
      <x:c r="H27" s="4"/>
      <x:c r="I27" s="4"/>
      <x:c r="J27" s="4"/>
      <x:c r="K27" s="4"/>
      <x:c r="L27" s="4"/>
    </x:row>
    <x:row r="28">
      <x:c r="A28" s="4"/>
      <x:c r="B28" s="4"/>
      <x:c r="C28" s="4"/>
      <x:c r="D28" s="4"/>
      <x:c r="E28" s="4"/>
      <x:c r="F28" s="4"/>
      <x:c r="G28" s="4"/>
      <x:c r="H28" s="4"/>
      <x:c r="I28" s="4"/>
      <x:c r="J28" s="4"/>
      <x:c r="K28" s="4"/>
      <x:c r="L28" s="4"/>
    </x:row>
    <x:row r="29">
      <x:c r="A29" s="4"/>
      <x:c r="B29" s="4"/>
      <x:c r="C29" s="4"/>
      <x:c r="D29" s="4"/>
      <x:c r="E29" s="4"/>
      <x:c r="F29" s="4"/>
      <x:c r="G29" s="4"/>
      <x:c r="H29" s="4"/>
      <x:c r="I29" s="4"/>
      <x:c r="J29" s="4"/>
      <x:c r="K29" s="4"/>
      <x:c r="L29" s="4"/>
    </x:row>
    <x:row r="30">
      <x:c r="A30" s="4"/>
      <x:c r="B30" s="4"/>
      <x:c r="C30" s="4"/>
      <x:c r="D30" s="4"/>
      <x:c r="E30" s="4"/>
      <x:c r="F30" s="4"/>
      <x:c r="G30" s="4"/>
      <x:c r="H30" s="4"/>
      <x:c r="I30" s="4"/>
      <x:c r="J30" s="4"/>
      <x:c r="K30" s="4"/>
      <x:c r="L30" s="4"/>
    </x:row>
    <x:row r="31">
      <x:c r="A31" s="4"/>
      <x:c r="B31" s="4"/>
      <x:c r="C31" s="4"/>
      <x:c r="D31" s="4"/>
      <x:c r="E31" s="4"/>
      <x:c r="F31" s="4"/>
      <x:c r="G31" s="4"/>
      <x:c r="H31" s="4"/>
      <x:c r="I31" s="4"/>
      <x:c r="J31" s="4"/>
      <x:c r="K31" s="4"/>
      <x:c r="L31" s="4"/>
    </x:row>
    <x:row r="32">
      <x:c r="A32" s="4"/>
      <x:c r="B32" s="4"/>
      <x:c r="C32" s="4"/>
      <x:c r="D32" s="4"/>
      <x:c r="E32" s="4"/>
      <x:c r="F32" s="4"/>
      <x:c r="G32" s="4"/>
      <x:c r="H32" s="4"/>
      <x:c r="I32" s="4"/>
      <x:c r="J32" s="4"/>
      <x:c r="K32" s="4"/>
      <x:c r="L32" s="4"/>
    </x:row>
    <x:row r="33">
      <x:c r="A33" s="4"/>
      <x:c r="B33" s="4"/>
      <x:c r="C33" s="4"/>
      <x:c r="D33" s="4"/>
      <x:c r="E33" s="4"/>
      <x:c r="F33" s="4"/>
      <x:c r="G33" s="4"/>
      <x:c r="H33" s="4"/>
      <x:c r="I33" s="4"/>
      <x:c r="J33" s="4"/>
      <x:c r="K33" s="4"/>
      <x:c r="L33" s="4"/>
    </x:row>
    <x:row r="34">
      <x:c r="A34" s="4"/>
      <x:c r="B34" s="4"/>
      <x:c r="C34" s="4"/>
      <x:c r="D34" s="4"/>
      <x:c r="E34" s="4"/>
      <x:c r="F34" s="4"/>
      <x:c r="G34" s="4"/>
      <x:c r="H34" s="4"/>
      <x:c r="I34" s="4"/>
      <x:c r="J34" s="4"/>
      <x:c r="K34" s="4"/>
      <x:c r="L34" s="4"/>
    </x:row>
    <x:row r="35">
      <x:c r="A35" s="4"/>
      <x:c r="B35" s="4"/>
      <x:c r="C35" s="4"/>
      <x:c r="D35" s="4"/>
      <x:c r="E35" s="4"/>
      <x:c r="F35" s="4"/>
      <x:c r="G35" s="4"/>
      <x:c r="H35" s="4"/>
      <x:c r="I35" s="4"/>
      <x:c r="J35" s="4"/>
      <x:c r="K35" s="4"/>
      <x:c r="L35" s="4"/>
    </x:row>
    <x:row r="36">
      <x:c r="A36" s="4"/>
      <x:c r="B36" s="4"/>
      <x:c r="C36" s="4"/>
      <x:c r="D36" s="4"/>
      <x:c r="E36" s="4"/>
      <x:c r="F36" s="4"/>
      <x:c r="G36" s="4"/>
      <x:c r="H36" s="4"/>
      <x:c r="I36" s="4"/>
      <x:c r="J36" s="4"/>
      <x:c r="K36" s="4"/>
      <x:c r="L36" s="4"/>
    </x:row>
    <x:row r="37">
      <x:c r="A37" s="4"/>
      <x:c r="B37" s="4"/>
      <x:c r="C37" s="4"/>
      <x:c r="D37" s="4"/>
      <x:c r="E37" s="4"/>
      <x:c r="F37" s="4"/>
      <x:c r="G37" s="4"/>
      <x:c r="H37" s="4"/>
      <x:c r="I37" s="4"/>
      <x:c r="J37" s="4"/>
      <x:c r="K37" s="4"/>
      <x:c r="L37" s="4"/>
    </x:row>
    <x:row r="38">
      <x:c r="A38" s="4"/>
      <x:c r="B38" s="4"/>
      <x:c r="C38" s="4"/>
      <x:c r="D38" s="4"/>
      <x:c r="E38" s="4"/>
      <x:c r="F38" s="4"/>
      <x:c r="G38" s="4"/>
      <x:c r="H38" s="4"/>
      <x:c r="I38" s="4"/>
      <x:c r="J38" s="4"/>
      <x:c r="K38" s="4"/>
      <x:c r="L38" s="4"/>
    </x:row>
    <x:row r="39">
      <x:c r="A39" s="4"/>
      <x:c r="B39" s="4"/>
      <x:c r="C39" s="4"/>
      <x:c r="D39" s="4"/>
      <x:c r="E39" s="4"/>
      <x:c r="F39" s="4"/>
      <x:c r="G39" s="4"/>
      <x:c r="H39" s="4"/>
      <x:c r="I39" s="4"/>
      <x:c r="J39" s="4"/>
      <x:c r="K39" s="4"/>
      <x:c r="L39" s="4"/>
    </x:row>
    <x:row r="40">
      <x:c r="A40" s="4"/>
      <x:c r="B40" s="4"/>
      <x:c r="C40" s="4"/>
      <x:c r="D40" s="4"/>
      <x:c r="E40" s="4"/>
      <x:c r="F40" s="4"/>
      <x:c r="G40" s="4"/>
      <x:c r="H40" s="4"/>
      <x:c r="I40" s="4"/>
      <x:c r="J40" s="4"/>
      <x:c r="K40" s="4"/>
      <x:c r="L40" s="4"/>
    </x:row>
    <x:row r="41">
      <x:c r="A41" s="4"/>
      <x:c r="B41" s="4"/>
      <x:c r="C41" s="4"/>
      <x:c r="D41" s="4"/>
      <x:c r="E41" s="4"/>
      <x:c r="F41" s="4"/>
      <x:c r="G41" s="4"/>
      <x:c r="H41" s="4"/>
      <x:c r="I41" s="4"/>
      <x:c r="J41" s="4"/>
      <x:c r="K41" s="4"/>
      <x:c r="L41" s="4"/>
    </x:row>
    <x:row r="42">
      <x:c r="A42" s="4"/>
      <x:c r="B42" s="4"/>
      <x:c r="C42" s="4"/>
      <x:c r="D42" s="4"/>
      <x:c r="E42" s="4"/>
      <x:c r="F42" s="4"/>
      <x:c r="G42" s="4"/>
      <x:c r="H42" s="4"/>
      <x:c r="I42" s="4"/>
      <x:c r="J42" s="4"/>
      <x:c r="K42" s="4"/>
      <x:c r="L42" s="4"/>
    </x:row>
    <x:row r="43">
      <x:c r="A43" s="4"/>
      <x:c r="B43" s="4"/>
      <x:c r="C43" s="4"/>
      <x:c r="D43" s="4"/>
      <x:c r="E43" s="4"/>
      <x:c r="F43" s="4"/>
      <x:c r="G43" s="4"/>
      <x:c r="H43" s="4"/>
      <x:c r="I43" s="4"/>
      <x:c r="J43" s="4"/>
      <x:c r="K43" s="4"/>
      <x:c r="L43" s="4"/>
    </x:row>
    <x:row r="44">
      <x:c r="A44" s="4"/>
      <x:c r="B44" s="4"/>
      <x:c r="C44" s="4"/>
      <x:c r="D44" s="4"/>
      <x:c r="E44" s="4"/>
      <x:c r="F44" s="4"/>
      <x:c r="G44" s="4"/>
      <x:c r="H44" s="4"/>
      <x:c r="I44" s="4"/>
      <x:c r="J44" s="4"/>
      <x:c r="K44" s="4"/>
      <x:c r="L44" s="4"/>
    </x:row>
    <x:row r="45">
      <x:c r="A45" s="4"/>
      <x:c r="B45" s="4"/>
      <x:c r="C45" s="4"/>
      <x:c r="D45" s="4"/>
      <x:c r="E45" s="4"/>
      <x:c r="F45" s="4"/>
      <x:c r="G45" s="4"/>
      <x:c r="H45" s="4"/>
      <x:c r="I45" s="4"/>
      <x:c r="J45" s="4"/>
      <x:c r="K45" s="4"/>
      <x:c r="L45" s="4"/>
    </x:row>
    <x:row r="46">
      <x:c r="A46" s="4"/>
      <x:c r="B46" s="4"/>
      <x:c r="C46" s="4"/>
      <x:c r="D46" s="4"/>
      <x:c r="E46" s="4"/>
      <x:c r="F46" s="4"/>
      <x:c r="G46" s="4"/>
      <x:c r="H46" s="4"/>
      <x:c r="I46" s="4"/>
      <x:c r="J46" s="4"/>
      <x:c r="K46" s="4"/>
      <x:c r="L46" s="4"/>
    </x:row>
    <x:row r="47">
      <x:c r="A47" s="4"/>
      <x:c r="B47" s="4"/>
      <x:c r="C47" s="4"/>
      <x:c r="D47" s="4"/>
      <x:c r="E47" s="4"/>
      <x:c r="F47" s="4"/>
      <x:c r="G47" s="4"/>
      <x:c r="H47" s="4"/>
      <x:c r="I47" s="4"/>
      <x:c r="J47" s="4"/>
      <x:c r="K47" s="4"/>
      <x:c r="L47" s="4"/>
    </x:row>
    <x:row r="48">
      <x:c r="A48" s="4"/>
      <x:c r="B48" s="4"/>
      <x:c r="C48" s="4"/>
      <x:c r="D48" s="4"/>
      <x:c r="E48" s="4"/>
      <x:c r="F48" s="4"/>
      <x:c r="G48" s="4"/>
      <x:c r="H48" s="4"/>
      <x:c r="I48" s="4"/>
      <x:c r="J48" s="4"/>
      <x:c r="K48" s="4"/>
      <x:c r="L48" s="4"/>
    </x:row>
    <x:row r="49">
      <x:c r="A49" s="4"/>
      <x:c r="B49" s="4"/>
      <x:c r="C49" s="4"/>
      <x:c r="D49" s="4"/>
      <x:c r="E49" s="4"/>
      <x:c r="F49" s="4"/>
      <x:c r="G49" s="4"/>
      <x:c r="H49" s="4"/>
      <x:c r="I49" s="4"/>
      <x:c r="J49" s="4"/>
      <x:c r="K49" s="4"/>
      <x:c r="L49" s="4"/>
    </x:row>
    <x:row r="50">
      <x:c r="A50" s="4"/>
      <x:c r="B50" s="4"/>
      <x:c r="C50" s="4"/>
      <x:c r="D50" s="4"/>
      <x:c r="E50" s="4"/>
      <x:c r="F50" s="4"/>
      <x:c r="G50" s="4"/>
      <x:c r="H50" s="4"/>
      <x:c r="I50" s="4"/>
      <x:c r="J50" s="4"/>
      <x:c r="K50" s="4"/>
      <x:c r="L50" s="4"/>
    </x:row>
    <x:row r="51">
      <x:c r="A51" s="4"/>
      <x:c r="B51" s="4"/>
      <x:c r="C51" s="4"/>
      <x:c r="D51" s="4"/>
      <x:c r="E51" s="4"/>
      <x:c r="F51" s="4"/>
      <x:c r="G51" s="4"/>
      <x:c r="H51" s="4"/>
      <x:c r="I51" s="4"/>
      <x:c r="J51" s="4"/>
      <x:c r="K51" s="4"/>
      <x:c r="L51" s="4"/>
    </x:row>
    <x:row r="52">
      <x:c r="A52" s="4"/>
      <x:c r="B52" s="4"/>
      <x:c r="C52" s="4"/>
      <x:c r="D52" s="4"/>
      <x:c r="E52" s="4"/>
      <x:c r="F52" s="4"/>
      <x:c r="G52" s="4"/>
      <x:c r="H52" s="4"/>
      <x:c r="I52" s="4"/>
      <x:c r="J52" s="4"/>
      <x:c r="K52" s="4"/>
      <x:c r="L52" s="4"/>
    </x:row>
    <x:row r="53">
      <x:c r="A53" s="4"/>
      <x:c r="B53" s="4"/>
      <x:c r="C53" s="4"/>
      <x:c r="D53" s="4"/>
      <x:c r="E53" s="4"/>
      <x:c r="F53" s="4"/>
      <x:c r="G53" s="4"/>
      <x:c r="H53" s="4"/>
      <x:c r="I53" s="4"/>
      <x:c r="J53" s="4"/>
      <x:c r="K53" s="4"/>
      <x:c r="L53" s="4"/>
    </x:row>
    <x:row r="54">
      <x:c r="A54" s="4"/>
      <x:c r="B54" s="4"/>
      <x:c r="C54" s="4"/>
      <x:c r="D54" s="4"/>
      <x:c r="E54" s="4"/>
      <x:c r="F54" s="4"/>
      <x:c r="G54" s="4"/>
      <x:c r="H54" s="4"/>
      <x:c r="I54" s="4"/>
      <x:c r="J54" s="4"/>
      <x:c r="K54" s="4"/>
      <x:c r="L54" s="4"/>
    </x:row>
    <x:row r="55">
      <x:c r="A55" s="4"/>
      <x:c r="B55" s="4"/>
      <x:c r="C55" s="4"/>
      <x:c r="D55" s="4"/>
      <x:c r="E55" s="4"/>
      <x:c r="F55" s="4"/>
      <x:c r="G55" s="4"/>
      <x:c r="H55" s="4"/>
      <x:c r="I55" s="4"/>
      <x:c r="J55" s="4"/>
      <x:c r="K55" s="4"/>
      <x:c r="L55" s="4"/>
    </x:row>
    <x:row r="56">
      <x:c r="A56" s="4"/>
      <x:c r="B56" s="4"/>
      <x:c r="C56" s="4"/>
      <x:c r="D56" s="4"/>
      <x:c r="E56" s="4"/>
      <x:c r="F56" s="4"/>
      <x:c r="G56" s="4"/>
      <x:c r="H56" s="4"/>
      <x:c r="I56" s="4"/>
      <x:c r="J56" s="4"/>
      <x:c r="K56" s="4"/>
      <x:c r="L56" s="4"/>
    </x:row>
    <x:row r="57">
      <x:c r="A57" s="4"/>
      <x:c r="B57" s="4"/>
      <x:c r="C57" s="4"/>
      <x:c r="D57" s="4"/>
      <x:c r="E57" s="4"/>
      <x:c r="F57" s="4"/>
      <x:c r="G57" s="4"/>
      <x:c r="H57" s="4"/>
      <x:c r="I57" s="4"/>
      <x:c r="J57" s="4"/>
      <x:c r="K57" s="4"/>
      <x:c r="L57" s="4"/>
    </x:row>
    <x:row r="58">
      <x:c r="A58" s="4"/>
      <x:c r="B58" s="4"/>
      <x:c r="C58" s="4"/>
      <x:c r="D58" s="4"/>
      <x:c r="E58" s="4"/>
      <x:c r="F58" s="4"/>
      <x:c r="G58" s="4"/>
      <x:c r="H58" s="4"/>
      <x:c r="I58" s="4"/>
      <x:c r="J58" s="4"/>
      <x:c r="K58" s="4"/>
      <x:c r="L58" s="4"/>
    </x:row>
    <x:row r="59">
      <x:c r="A59" s="4"/>
      <x:c r="B59" s="4"/>
      <x:c r="C59" s="4"/>
      <x:c r="D59" s="4"/>
      <x:c r="E59" s="4"/>
      <x:c r="F59" s="4"/>
      <x:c r="G59" s="4"/>
      <x:c r="H59" s="4"/>
      <x:c r="I59" s="4"/>
      <x:c r="J59" s="4"/>
      <x:c r="K59" s="4"/>
      <x:c r="L59" s="4"/>
    </x:row>
    <x:row r="60">
      <x:c r="A60" s="4"/>
      <x:c r="B60" s="4"/>
      <x:c r="C60" s="4"/>
      <x:c r="D60" s="4"/>
      <x:c r="E60" s="4"/>
      <x:c r="F60" s="4"/>
      <x:c r="G60" s="4"/>
      <x:c r="H60" s="4"/>
      <x:c r="I60" s="4"/>
      <x:c r="J60" s="4"/>
      <x:c r="K60" s="4"/>
      <x:c r="L60" s="4"/>
    </x:row>
    <x:row r="61">
      <x:c r="A61" s="4"/>
      <x:c r="B61" s="4"/>
      <x:c r="C61" s="4"/>
      <x:c r="D61" s="4"/>
      <x:c r="E61" s="4"/>
      <x:c r="F61" s="4"/>
      <x:c r="G61" s="4"/>
      <x:c r="H61" s="4"/>
      <x:c r="I61" s="4"/>
      <x:c r="J61" s="4"/>
      <x:c r="K61" s="4"/>
      <x:c r="L61" s="4"/>
    </x:row>
    <x:row r="62">
      <x:c r="A62" s="4"/>
      <x:c r="B62" s="4"/>
      <x:c r="C62" s="4"/>
      <x:c r="D62" s="4"/>
      <x:c r="E62" s="4"/>
      <x:c r="F62" s="4"/>
      <x:c r="G62" s="4"/>
      <x:c r="H62" s="4"/>
      <x:c r="I62" s="4"/>
      <x:c r="J62" s="4"/>
      <x:c r="K62" s="4"/>
      <x:c r="L62" s="4"/>
    </x:row>
    <x:row r="63">
      <x:c r="A63" s="4"/>
      <x:c r="B63" s="4"/>
      <x:c r="C63" s="4"/>
      <x:c r="D63" s="4"/>
      <x:c r="E63" s="4"/>
      <x:c r="F63" s="4"/>
      <x:c r="G63" s="4"/>
      <x:c r="H63" s="4"/>
      <x:c r="I63" s="4"/>
      <x:c r="J63" s="4"/>
      <x:c r="K63" s="4"/>
      <x:c r="L63" s="4"/>
    </x:row>
    <x:row r="64">
      <x:c r="A64" s="4"/>
      <x:c r="B64" s="4"/>
      <x:c r="C64" s="4"/>
      <x:c r="D64" s="4"/>
      <x:c r="E64" s="4"/>
      <x:c r="F64" s="4"/>
      <x:c r="G64" s="4"/>
      <x:c r="H64" s="4"/>
      <x:c r="I64" s="4"/>
      <x:c r="J64" s="4"/>
      <x:c r="K64" s="4"/>
      <x:c r="L64" s="4"/>
    </x:row>
    <x:row r="65">
      <x:c r="A65" s="4"/>
      <x:c r="B65" s="4"/>
      <x:c r="C65" s="4"/>
      <x:c r="D65" s="4"/>
      <x:c r="E65" s="4"/>
      <x:c r="F65" s="4"/>
      <x:c r="G65" s="4"/>
      <x:c r="H65" s="4"/>
      <x:c r="I65" s="4"/>
      <x:c r="J65" s="4"/>
      <x:c r="K65" s="4"/>
      <x:c r="L65" s="4"/>
    </x:row>
    <x:row r="66">
      <x:c r="A66" s="4"/>
      <x:c r="B66" s="4"/>
      <x:c r="C66" s="4"/>
      <x:c r="D66" s="4"/>
      <x:c r="E66" s="4"/>
      <x:c r="F66" s="4"/>
      <x:c r="G66" s="4"/>
      <x:c r="H66" s="4"/>
      <x:c r="I66" s="4"/>
      <x:c r="J66" s="4"/>
      <x:c r="K66" s="4"/>
      <x:c r="L66" s="4"/>
    </x:row>
    <x:row r="67">
      <x:c r="A67" s="4"/>
      <x:c r="B67" s="4"/>
      <x:c r="C67" s="4"/>
      <x:c r="D67" s="4"/>
      <x:c r="E67" s="4"/>
      <x:c r="F67" s="4"/>
      <x:c r="G67" s="4"/>
      <x:c r="H67" s="4"/>
      <x:c r="I67" s="4"/>
      <x:c r="J67" s="4"/>
      <x:c r="K67" s="4"/>
      <x:c r="L67" s="4"/>
    </x:row>
    <x:row r="68">
      <x:c r="A68" s="4"/>
      <x:c r="B68" s="4"/>
      <x:c r="C68" s="4"/>
      <x:c r="D68" s="4"/>
      <x:c r="E68" s="4"/>
      <x:c r="F68" s="4"/>
      <x:c r="G68" s="4"/>
      <x:c r="H68" s="4"/>
      <x:c r="I68" s="4"/>
      <x:c r="J68" s="4"/>
      <x:c r="K68" s="4"/>
      <x:c r="L68" s="4"/>
    </x:row>
    <x:row r="69">
      <x:c r="A69" s="4"/>
      <x:c r="B69" s="4"/>
      <x:c r="C69" s="4"/>
      <x:c r="D69" s="4"/>
      <x:c r="E69" s="4"/>
      <x:c r="F69" s="4"/>
      <x:c r="G69" s="4"/>
      <x:c r="H69" s="4"/>
      <x:c r="I69" s="4"/>
      <x:c r="J69" s="4"/>
      <x:c r="K69" s="4"/>
      <x:c r="L69" s="4"/>
    </x:row>
    <x:row r="70">
      <x:c r="A70" s="4"/>
      <x:c r="B70" s="4"/>
      <x:c r="C70" s="4"/>
      <x:c r="D70" s="4"/>
      <x:c r="E70" s="4"/>
      <x:c r="F70" s="4"/>
      <x:c r="G70" s="4"/>
      <x:c r="H70" s="4"/>
      <x:c r="I70" s="4"/>
      <x:c r="J70" s="4"/>
      <x:c r="K70" s="4"/>
      <x:c r="L70" s="4"/>
    </x:row>
    <x:row r="71">
      <x:c r="A71" s="4"/>
      <x:c r="B71" s="4"/>
      <x:c r="C71" s="4"/>
      <x:c r="D71" s="4"/>
      <x:c r="E71" s="4"/>
      <x:c r="F71" s="4"/>
      <x:c r="G71" s="4"/>
      <x:c r="H71" s="4"/>
      <x:c r="I71" s="4"/>
      <x:c r="J71" s="4"/>
      <x:c r="K71" s="4"/>
      <x:c r="L71" s="4"/>
    </x:row>
    <x:row r="72">
      <x:c r="A72" s="4"/>
      <x:c r="B72" s="4"/>
      <x:c r="C72" s="4"/>
      <x:c r="D72" s="4"/>
      <x:c r="E72" s="4"/>
      <x:c r="F72" s="4"/>
      <x:c r="G72" s="4"/>
      <x:c r="H72" s="4"/>
      <x:c r="I72" s="4"/>
      <x:c r="J72" s="4"/>
      <x:c r="K72" s="4"/>
      <x:c r="L72" s="4"/>
    </x:row>
    <x:row r="73">
      <x:c r="A73" s="4"/>
      <x:c r="B73" s="4"/>
      <x:c r="C73" s="4"/>
      <x:c r="D73" s="4"/>
      <x:c r="E73" s="4"/>
      <x:c r="F73" s="4"/>
      <x:c r="G73" s="4"/>
      <x:c r="H73" s="4"/>
      <x:c r="I73" s="4"/>
      <x:c r="J73" s="4"/>
      <x:c r="K73" s="4"/>
      <x:c r="L73" s="4"/>
    </x:row>
    <x:row r="74">
      <x:c r="A74" s="4"/>
      <x:c r="B74" s="4"/>
      <x:c r="C74" s="4"/>
      <x:c r="D74" s="4"/>
      <x:c r="E74" s="4"/>
      <x:c r="F74" s="4"/>
      <x:c r="G74" s="4"/>
      <x:c r="H74" s="4"/>
      <x:c r="I74" s="4"/>
      <x:c r="J74" s="4"/>
      <x:c r="K74" s="4"/>
      <x:c r="L74" s="4"/>
    </x:row>
    <x:row r="75">
      <x:c r="A75" s="4"/>
      <x:c r="B75" s="4"/>
      <x:c r="C75" s="4"/>
      <x:c r="D75" s="4"/>
      <x:c r="E75" s="4"/>
      <x:c r="F75" s="4"/>
      <x:c r="G75" s="4"/>
      <x:c r="H75" s="4"/>
      <x:c r="I75" s="4"/>
      <x:c r="J75" s="4"/>
      <x:c r="K75" s="4"/>
      <x:c r="L75" s="4"/>
    </x:row>
    <x:row r="76">
      <x:c r="A76" s="4"/>
      <x:c r="B76" s="4"/>
      <x:c r="C76" s="4"/>
      <x:c r="D76" s="4"/>
      <x:c r="E76" s="4"/>
      <x:c r="F76" s="4"/>
      <x:c r="G76" s="4"/>
      <x:c r="H76" s="4"/>
      <x:c r="I76" s="4"/>
      <x:c r="J76" s="4"/>
      <x:c r="K76" s="4"/>
      <x:c r="L76" s="4"/>
    </x:row>
    <x:row r="77">
      <x:c r="A77" s="4"/>
      <x:c r="B77" s="4"/>
      <x:c r="C77" s="4"/>
      <x:c r="D77" s="4"/>
      <x:c r="E77" s="4"/>
      <x:c r="F77" s="4"/>
      <x:c r="G77" s="4"/>
      <x:c r="H77" s="4"/>
      <x:c r="I77" s="4"/>
      <x:c r="J77" s="4"/>
      <x:c r="K77" s="4"/>
      <x:c r="L77" s="4"/>
    </x:row>
    <x:row r="78">
      <x:c r="A78" s="4"/>
      <x:c r="B78" s="4"/>
      <x:c r="C78" s="4"/>
      <x:c r="D78" s="4"/>
      <x:c r="E78" s="4"/>
      <x:c r="F78" s="4"/>
      <x:c r="G78" s="4"/>
      <x:c r="H78" s="4"/>
      <x:c r="I78" s="4"/>
      <x:c r="J78" s="4"/>
      <x:c r="K78" s="4"/>
      <x:c r="L78" s="4"/>
    </x:row>
    <x:row r="79">
      <x:c r="A79" s="4"/>
      <x:c r="B79" s="4"/>
      <x:c r="C79" s="4"/>
      <x:c r="D79" s="4"/>
      <x:c r="E79" s="4"/>
      <x:c r="F79" s="4"/>
      <x:c r="G79" s="4"/>
      <x:c r="H79" s="4"/>
      <x:c r="I79" s="4"/>
      <x:c r="J79" s="4"/>
      <x:c r="K79" s="4"/>
      <x:c r="L79" s="4"/>
    </x:row>
    <x:row r="80">
      <x:c r="A80" s="4"/>
      <x:c r="B80" s="4"/>
      <x:c r="C80" s="4"/>
      <x:c r="D80" s="4"/>
      <x:c r="E80" s="4"/>
      <x:c r="F80" s="4"/>
      <x:c r="G80" s="4"/>
      <x:c r="H80" s="4"/>
      <x:c r="I80" s="4"/>
      <x:c r="J80" s="4"/>
      <x:c r="K80" s="4"/>
      <x:c r="L80" s="4"/>
    </x:row>
    <x:row r="81">
      <x:c r="A81" s="4"/>
      <x:c r="B81" s="4"/>
      <x:c r="C81" s="4"/>
      <x:c r="D81" s="4"/>
      <x:c r="E81" s="4"/>
      <x:c r="F81" s="4"/>
      <x:c r="G81" s="4"/>
      <x:c r="H81" s="4"/>
      <x:c r="I81" s="4"/>
      <x:c r="J81" s="4"/>
      <x:c r="K81" s="4"/>
      <x:c r="L81" s="4"/>
    </x:row>
    <x:row r="82">
      <x:c r="A82" s="4"/>
      <x:c r="B82" s="4"/>
      <x:c r="C82" s="4"/>
      <x:c r="D82" s="4"/>
      <x:c r="E82" s="4"/>
      <x:c r="F82" s="4"/>
      <x:c r="G82" s="4"/>
      <x:c r="H82" s="4"/>
      <x:c r="I82" s="4"/>
      <x:c r="J82" s="4"/>
      <x:c r="K82" s="4"/>
      <x:c r="L82" s="4"/>
    </x:row>
    <x:row r="83">
      <x:c r="A83" s="4"/>
      <x:c r="B83" s="4"/>
      <x:c r="C83" s="4"/>
      <x:c r="D83" s="4"/>
      <x:c r="E83" s="4"/>
      <x:c r="F83" s="4"/>
      <x:c r="G83" s="4"/>
      <x:c r="H83" s="4"/>
      <x:c r="I83" s="4"/>
      <x:c r="J83" s="4"/>
      <x:c r="K83" s="4"/>
      <x:c r="L83" s="4"/>
    </x:row>
    <x:row r="84">
      <x:c r="A84" s="4"/>
      <x:c r="B84" s="4"/>
      <x:c r="C84" s="4"/>
      <x:c r="D84" s="4"/>
      <x:c r="E84" s="4"/>
      <x:c r="F84" s="4"/>
      <x:c r="G84" s="4"/>
      <x:c r="H84" s="4"/>
      <x:c r="I84" s="4"/>
      <x:c r="J84" s="4"/>
      <x:c r="K84" s="4"/>
      <x:c r="L84" s="4"/>
    </x:row>
    <x:row r="85">
      <x:c r="A85" s="4"/>
      <x:c r="B85" s="4"/>
      <x:c r="C85" s="4"/>
      <x:c r="D85" s="4"/>
      <x:c r="E85" s="4"/>
      <x:c r="F85" s="4"/>
      <x:c r="G85" s="4"/>
      <x:c r="H85" s="4"/>
      <x:c r="I85" s="4"/>
      <x:c r="J85" s="4"/>
      <x:c r="K85" s="4"/>
      <x:c r="L85" s="4"/>
    </x:row>
    <x:row r="86">
      <x:c r="A86" s="4"/>
      <x:c r="B86" s="4"/>
      <x:c r="C86" s="4"/>
      <x:c r="D86" s="4"/>
      <x:c r="E86" s="4"/>
      <x:c r="F86" s="4"/>
      <x:c r="G86" s="4"/>
      <x:c r="H86" s="4"/>
      <x:c r="I86" s="4"/>
      <x:c r="J86" s="4"/>
      <x:c r="K86" s="4"/>
      <x:c r="L86" s="4"/>
    </x:row>
    <x:row r="87">
      <x:c r="A87" s="4"/>
      <x:c r="B87" s="4"/>
      <x:c r="C87" s="4"/>
      <x:c r="D87" s="4"/>
      <x:c r="E87" s="4"/>
      <x:c r="F87" s="4"/>
      <x:c r="G87" s="4"/>
      <x:c r="H87" s="4"/>
      <x:c r="I87" s="4"/>
      <x:c r="J87" s="4"/>
      <x:c r="K87" s="4"/>
      <x:c r="L87" s="4"/>
    </x:row>
    <x:row r="88">
      <x:c r="A88" s="4"/>
      <x:c r="B88" s="4"/>
      <x:c r="C88" s="4"/>
      <x:c r="D88" s="4"/>
      <x:c r="E88" s="4"/>
      <x:c r="F88" s="4"/>
      <x:c r="G88" s="4"/>
      <x:c r="H88" s="4"/>
      <x:c r="I88" s="4"/>
      <x:c r="J88" s="4"/>
      <x:c r="K88" s="4"/>
      <x:c r="L88" s="4"/>
    </x:row>
    <x:row r="89">
      <x:c r="A89" s="4"/>
      <x:c r="B89" s="4"/>
      <x:c r="C89" s="4"/>
      <x:c r="D89" s="4"/>
      <x:c r="E89" s="4"/>
      <x:c r="F89" s="4"/>
      <x:c r="G89" s="4"/>
      <x:c r="H89" s="4"/>
      <x:c r="I89" s="4"/>
      <x:c r="J89" s="4"/>
      <x:c r="K89" s="4"/>
      <x:c r="L89" s="4"/>
    </x:row>
    <x:row r="90">
      <x:c r="A90" s="4"/>
      <x:c r="B90" s="4"/>
      <x:c r="C90" s="4"/>
      <x:c r="D90" s="4"/>
      <x:c r="E90" s="4"/>
      <x:c r="F90" s="4"/>
      <x:c r="G90" s="4"/>
      <x:c r="H90" s="4"/>
      <x:c r="I90" s="4"/>
      <x:c r="J90" s="4"/>
      <x:c r="K90" s="4"/>
      <x:c r="L90" s="4"/>
    </x:row>
    <x:row r="91">
      <x:c r="A91" s="4"/>
      <x:c r="B91" s="4"/>
      <x:c r="C91" s="4"/>
      <x:c r="D91" s="4"/>
      <x:c r="E91" s="4"/>
      <x:c r="F91" s="4"/>
      <x:c r="G91" s="4"/>
      <x:c r="H91" s="4"/>
      <x:c r="I91" s="4"/>
      <x:c r="J91" s="4"/>
      <x:c r="K91" s="4"/>
      <x:c r="L91" s="4"/>
    </x:row>
    <x:row r="92">
      <x:c r="A92" s="4"/>
      <x:c r="B92" s="4"/>
      <x:c r="C92" s="4"/>
      <x:c r="D92" s="4"/>
      <x:c r="E92" s="4"/>
      <x:c r="F92" s="4"/>
      <x:c r="G92" s="4"/>
      <x:c r="H92" s="4"/>
      <x:c r="I92" s="4"/>
      <x:c r="J92" s="4"/>
      <x:c r="K92" s="4"/>
      <x:c r="L92" s="4"/>
    </x:row>
    <x:row r="93">
      <x:c r="A93" s="4"/>
      <x:c r="B93" s="4"/>
      <x:c r="C93" s="4"/>
      <x:c r="D93" s="4"/>
      <x:c r="E93" s="4"/>
      <x:c r="F93" s="4"/>
      <x:c r="G93" s="4"/>
      <x:c r="H93" s="4"/>
      <x:c r="I93" s="4"/>
      <x:c r="J93" s="4"/>
      <x:c r="K93" s="4"/>
      <x:c r="L93" s="4"/>
    </x:row>
    <x:row r="94">
      <x:c r="A94" s="4"/>
      <x:c r="B94" s="4"/>
      <x:c r="C94" s="4"/>
      <x:c r="D94" s="4"/>
      <x:c r="E94" s="4"/>
      <x:c r="F94" s="4"/>
      <x:c r="G94" s="4"/>
      <x:c r="H94" s="4"/>
      <x:c r="I94" s="4"/>
      <x:c r="J94" s="4"/>
      <x:c r="K94" s="4"/>
      <x:c r="L94" s="4"/>
    </x:row>
    <x:row r="95">
      <x:c r="A95" s="4"/>
      <x:c r="B95" s="4"/>
      <x:c r="C95" s="4"/>
      <x:c r="D95" s="4"/>
      <x:c r="E95" s="4"/>
      <x:c r="F95" s="4"/>
      <x:c r="G95" s="4"/>
      <x:c r="H95" s="4"/>
      <x:c r="I95" s="4"/>
      <x:c r="J95" s="4"/>
      <x:c r="K95" s="4"/>
      <x:c r="L95" s="4"/>
    </x:row>
    <x:row r="96">
      <x:c r="A96" s="4"/>
      <x:c r="B96" s="4"/>
      <x:c r="C96" s="4"/>
      <x:c r="D96" s="4"/>
      <x:c r="E96" s="4"/>
      <x:c r="F96" s="4"/>
      <x:c r="G96" s="4"/>
      <x:c r="H96" s="4"/>
      <x:c r="I96" s="4"/>
      <x:c r="J96" s="4"/>
      <x:c r="K96" s="4"/>
      <x:c r="L96" s="4"/>
    </x:row>
    <x:row r="97">
      <x:c r="A97" s="4"/>
      <x:c r="B97" s="4"/>
      <x:c r="C97" s="4"/>
      <x:c r="D97" s="4"/>
      <x:c r="E97" s="4"/>
      <x:c r="F97" s="4"/>
      <x:c r="G97" s="4"/>
      <x:c r="H97" s="4"/>
      <x:c r="I97" s="4"/>
      <x:c r="J97" s="4"/>
      <x:c r="K97" s="4"/>
      <x:c r="L97" s="4"/>
    </x:row>
    <x:row r="98">
      <x:c r="A98" s="4"/>
      <x:c r="B98" s="4"/>
      <x:c r="C98" s="4"/>
      <x:c r="D98" s="4"/>
      <x:c r="E98" s="4"/>
      <x:c r="F98" s="4"/>
      <x:c r="G98" s="4"/>
      <x:c r="H98" s="4"/>
      <x:c r="I98" s="4"/>
      <x:c r="J98" s="4"/>
      <x:c r="K98" s="4"/>
      <x:c r="L98" s="4"/>
    </x:row>
    <x:row r="99">
      <x:c r="A99" s="4"/>
      <x:c r="B99" s="4"/>
      <x:c r="C99" s="4"/>
      <x:c r="D99" s="4"/>
      <x:c r="E99" s="4"/>
      <x:c r="F99" s="4"/>
      <x:c r="G99" s="4"/>
      <x:c r="H99" s="4"/>
      <x:c r="I99" s="4"/>
      <x:c r="J99" s="4"/>
      <x:c r="K99" s="4"/>
      <x:c r="L99" s="4"/>
    </x:row>
    <x:row r="100">
      <x:c r="A100" s="4"/>
      <x:c r="B100" s="4"/>
      <x:c r="C100" s="4"/>
      <x:c r="D100" s="4"/>
      <x:c r="E100" s="4"/>
      <x:c r="F100" s="4"/>
      <x:c r="G100" s="4"/>
      <x:c r="H100" s="4"/>
      <x:c r="I100" s="4"/>
      <x:c r="J100" s="4"/>
      <x:c r="K100" s="4"/>
      <x:c r="L100" s="4"/>
    </x:row>
    <x:row r="101">
      <x:c r="A101" s="4"/>
      <x:c r="B101" s="4"/>
      <x:c r="C101" s="4"/>
      <x:c r="D101" s="4"/>
      <x:c r="E101" s="4"/>
      <x:c r="F101" s="4"/>
      <x:c r="G101" s="4"/>
      <x:c r="H101" s="4"/>
      <x:c r="I101" s="4"/>
      <x:c r="J101" s="4"/>
      <x:c r="K101" s="4"/>
      <x:c r="L101" s="4"/>
    </x:row>
    <x:row r="102">
      <x:c r="A102" s="4"/>
      <x:c r="B102" s="4"/>
      <x:c r="C102" s="4"/>
      <x:c r="D102" s="4"/>
      <x:c r="E102" s="4"/>
      <x:c r="F102" s="4"/>
      <x:c r="G102" s="4"/>
      <x:c r="H102" s="4"/>
      <x:c r="I102" s="4"/>
      <x:c r="J102" s="4"/>
      <x:c r="K102" s="4"/>
      <x:c r="L102" s="4"/>
    </x:row>
    <x:row r="103">
      <x:c r="A103" s="4"/>
      <x:c r="B103" s="4"/>
      <x:c r="C103" s="4"/>
      <x:c r="D103" s="4"/>
      <x:c r="E103" s="4"/>
      <x:c r="F103" s="4"/>
      <x:c r="G103" s="4"/>
      <x:c r="H103" s="4"/>
      <x:c r="I103" s="4"/>
      <x:c r="J103" s="4"/>
      <x:c r="K103" s="4"/>
      <x:c r="L103" s="4"/>
    </x:row>
    <x:row r="104">
      <x:c r="A104" s="4"/>
      <x:c r="B104" s="4"/>
      <x:c r="C104" s="4"/>
      <x:c r="D104" s="4"/>
      <x:c r="E104" s="4"/>
      <x:c r="F104" s="4"/>
      <x:c r="G104" s="4"/>
      <x:c r="H104" s="4"/>
      <x:c r="I104" s="4"/>
      <x:c r="J104" s="4"/>
      <x:c r="K104" s="4"/>
      <x:c r="L104" s="4"/>
    </x:row>
    <x:row r="105">
      <x:c r="A105" s="4"/>
      <x:c r="B105" s="4"/>
      <x:c r="C105" s="4"/>
      <x:c r="D105" s="4"/>
      <x:c r="E105" s="4"/>
      <x:c r="F105" s="4"/>
      <x:c r="G105" s="4"/>
      <x:c r="H105" s="4"/>
      <x:c r="I105" s="4"/>
      <x:c r="J105" s="4"/>
      <x:c r="K105" s="4"/>
      <x:c r="L105" s="4"/>
    </x:row>
    <x:row r="106">
      <x:c r="A106" s="4"/>
      <x:c r="B106" s="4"/>
      <x:c r="C106" s="4"/>
      <x:c r="D106" s="4"/>
      <x:c r="E106" s="4"/>
      <x:c r="F106" s="4"/>
      <x:c r="G106" s="4"/>
      <x:c r="H106" s="4"/>
      <x:c r="I106" s="4"/>
      <x:c r="J106" s="4"/>
      <x:c r="K106" s="4"/>
      <x:c r="L106" s="4"/>
    </x:row>
    <x:row r="107">
      <x:c r="A107" s="4"/>
      <x:c r="B107" s="4"/>
      <x:c r="C107" s="4"/>
      <x:c r="D107" s="4"/>
      <x:c r="E107" s="4"/>
      <x:c r="F107" s="4"/>
      <x:c r="G107" s="4"/>
      <x:c r="H107" s="4"/>
      <x:c r="I107" s="4"/>
      <x:c r="J107" s="4"/>
      <x:c r="K107" s="4"/>
      <x:c r="L107" s="4"/>
    </x:row>
    <x:row r="108">
      <x:c r="A108" s="4"/>
      <x:c r="B108" s="4"/>
      <x:c r="C108" s="4"/>
      <x:c r="D108" s="4"/>
      <x:c r="E108" s="4"/>
      <x:c r="F108" s="4"/>
      <x:c r="G108" s="4"/>
      <x:c r="H108" s="4"/>
      <x:c r="I108" s="4"/>
      <x:c r="J108" s="4"/>
      <x:c r="K108" s="4"/>
      <x:c r="L108" s="4"/>
    </x:row>
    <x:row r="109">
      <x:c r="A109" s="4"/>
      <x:c r="B109" s="4"/>
      <x:c r="C109" s="4"/>
      <x:c r="D109" s="4"/>
      <x:c r="E109" s="4"/>
      <x:c r="F109" s="4"/>
      <x:c r="G109" s="4"/>
      <x:c r="H109" s="4"/>
      <x:c r="I109" s="4"/>
      <x:c r="J109" s="4"/>
      <x:c r="K109" s="4"/>
      <x:c r="L109" s="4"/>
    </x:row>
    <x:row r="110">
      <x:c r="A110" s="4"/>
      <x:c r="B110" s="4"/>
      <x:c r="C110" s="4"/>
      <x:c r="D110" s="4"/>
      <x:c r="E110" s="4"/>
      <x:c r="F110" s="4"/>
      <x:c r="G110" s="4"/>
      <x:c r="H110" s="4"/>
      <x:c r="I110" s="4"/>
      <x:c r="J110" s="4"/>
      <x:c r="K110" s="4"/>
      <x:c r="L110" s="4"/>
    </x:row>
    <x:row r="111">
      <x:c r="A111" s="4"/>
      <x:c r="B111" s="4"/>
      <x:c r="C111" s="4"/>
      <x:c r="D111" s="4"/>
      <x:c r="E111" s="4"/>
      <x:c r="F111" s="4"/>
      <x:c r="G111" s="4"/>
      <x:c r="H111" s="4"/>
      <x:c r="I111" s="4"/>
      <x:c r="J111" s="4"/>
      <x:c r="K111" s="4"/>
      <x:c r="L111" s="4"/>
    </x:row>
    <x:row r="112">
      <x:c r="A112" s="4"/>
      <x:c r="B112" s="4"/>
      <x:c r="C112" s="4"/>
      <x:c r="D112" s="4"/>
      <x:c r="E112" s="4"/>
      <x:c r="F112" s="4"/>
      <x:c r="G112" s="4"/>
      <x:c r="H112" s="4"/>
      <x:c r="I112" s="4"/>
      <x:c r="J112" s="4"/>
      <x:c r="K112" s="4"/>
      <x:c r="L112" s="4"/>
    </x:row>
    <x:row r="113">
      <x:c r="A113" s="4"/>
      <x:c r="B113" s="4"/>
      <x:c r="C113" s="4"/>
      <x:c r="D113" s="4"/>
      <x:c r="E113" s="4"/>
      <x:c r="F113" s="4"/>
      <x:c r="G113" s="4"/>
      <x:c r="H113" s="4"/>
      <x:c r="I113" s="4"/>
      <x:c r="J113" s="4"/>
      <x:c r="K113" s="4"/>
      <x:c r="L113" s="4"/>
    </x:row>
    <x:row r="114">
      <x:c r="A114" s="4"/>
      <x:c r="B114" s="4"/>
      <x:c r="C114" s="4"/>
      <x:c r="D114" s="4"/>
      <x:c r="E114" s="4"/>
      <x:c r="F114" s="4"/>
      <x:c r="G114" s="4"/>
      <x:c r="H114" s="4"/>
      <x:c r="I114" s="4"/>
      <x:c r="J114" s="4"/>
      <x:c r="K114" s="4"/>
      <x:c r="L114" s="4"/>
    </x:row>
    <x:row r="115">
      <x:c r="A115" s="4"/>
      <x:c r="B115" s="4"/>
      <x:c r="C115" s="4"/>
      <x:c r="D115" s="4"/>
      <x:c r="E115" s="4"/>
      <x:c r="F115" s="4"/>
      <x:c r="G115" s="4"/>
      <x:c r="H115" s="4"/>
      <x:c r="I115" s="4"/>
      <x:c r="J115" s="4"/>
      <x:c r="K115" s="4"/>
      <x:c r="L115" s="4"/>
    </x:row>
    <x:row r="116">
      <x:c r="A116" s="4"/>
      <x:c r="B116" s="4"/>
      <x:c r="C116" s="4"/>
      <x:c r="D116" s="4"/>
      <x:c r="E116" s="4"/>
      <x:c r="F116" s="4"/>
      <x:c r="G116" s="4"/>
      <x:c r="H116" s="4"/>
      <x:c r="I116" s="4"/>
      <x:c r="J116" s="4"/>
      <x:c r="K116" s="4"/>
      <x:c r="L116" s="4"/>
    </x:row>
    <x:row r="117">
      <x:c r="A117" s="4"/>
      <x:c r="B117" s="4"/>
      <x:c r="C117" s="4"/>
      <x:c r="D117" s="4"/>
      <x:c r="E117" s="4"/>
      <x:c r="F117" s="4"/>
      <x:c r="G117" s="4"/>
      <x:c r="H117" s="4"/>
      <x:c r="I117" s="4"/>
      <x:c r="J117" s="4"/>
      <x:c r="K117" s="4"/>
      <x:c r="L117" s="4"/>
    </x:row>
    <x:row r="118">
      <x:c r="A118" s="4"/>
      <x:c r="B118" s="4"/>
      <x:c r="C118" s="4"/>
      <x:c r="D118" s="4"/>
      <x:c r="E118" s="4"/>
      <x:c r="F118" s="4"/>
      <x:c r="G118" s="4"/>
      <x:c r="H118" s="4"/>
      <x:c r="I118" s="4"/>
      <x:c r="J118" s="4"/>
      <x:c r="K118" s="4"/>
      <x:c r="L118" s="4"/>
    </x:row>
    <x:row r="119">
      <x:c r="A119" s="4"/>
      <x:c r="B119" s="4"/>
      <x:c r="C119" s="4"/>
      <x:c r="D119" s="4"/>
      <x:c r="E119" s="4"/>
      <x:c r="F119" s="4"/>
      <x:c r="G119" s="4"/>
      <x:c r="H119" s="4"/>
      <x:c r="I119" s="4"/>
      <x:c r="J119" s="4"/>
      <x:c r="K119" s="4"/>
      <x:c r="L119" s="4"/>
    </x:row>
    <x:row r="120">
      <x:c r="A120" s="4"/>
      <x:c r="B120" s="4"/>
      <x:c r="C120" s="4"/>
      <x:c r="D120" s="4"/>
      <x:c r="E120" s="4"/>
      <x:c r="F120" s="4"/>
      <x:c r="G120" s="4"/>
      <x:c r="H120" s="4"/>
      <x:c r="I120" s="4"/>
      <x:c r="J120" s="4"/>
      <x:c r="K120" s="4"/>
      <x:c r="L120" s="4"/>
    </x:row>
    <x:row r="121">
      <x:c r="A121" s="4"/>
      <x:c r="B121" s="4"/>
      <x:c r="C121" s="4"/>
      <x:c r="D121" s="4"/>
      <x:c r="E121" s="4"/>
      <x:c r="F121" s="4"/>
      <x:c r="G121" s="4"/>
      <x:c r="H121" s="4"/>
      <x:c r="I121" s="4"/>
      <x:c r="J121" s="4"/>
      <x:c r="K121" s="4"/>
      <x:c r="L121" s="4"/>
    </x:row>
    <x:row r="122">
      <x:c r="A122" s="4"/>
      <x:c r="B122" s="4"/>
      <x:c r="C122" s="4"/>
      <x:c r="D122" s="4"/>
      <x:c r="E122" s="4"/>
      <x:c r="F122" s="4"/>
      <x:c r="G122" s="4"/>
      <x:c r="H122" s="4"/>
      <x:c r="I122" s="4"/>
      <x:c r="J122" s="4"/>
      <x:c r="K122" s="4"/>
      <x:c r="L122" s="4"/>
    </x:row>
    <x:row r="123">
      <x:c r="A123" s="4"/>
      <x:c r="B123" s="4"/>
      <x:c r="C123" s="4"/>
      <x:c r="D123" s="4"/>
      <x:c r="E123" s="4"/>
      <x:c r="F123" s="4"/>
      <x:c r="G123" s="4"/>
      <x:c r="H123" s="4"/>
      <x:c r="I123" s="4"/>
      <x:c r="J123" s="4"/>
      <x:c r="K123" s="4"/>
      <x:c r="L123" s="4"/>
    </x:row>
    <x:row r="124">
      <x:c r="A124" s="4"/>
      <x:c r="B124" s="4"/>
      <x:c r="C124" s="4"/>
      <x:c r="D124" s="4"/>
      <x:c r="E124" s="4"/>
      <x:c r="F124" s="4"/>
      <x:c r="G124" s="4"/>
      <x:c r="H124" s="4"/>
      <x:c r="I124" s="4"/>
      <x:c r="J124" s="4"/>
      <x:c r="K124" s="4"/>
      <x:c r="L124" s="4"/>
    </x:row>
    <x:row r="125">
      <x:c r="A125" s="4"/>
      <x:c r="B125" s="4"/>
      <x:c r="C125" s="4"/>
      <x:c r="D125" s="4"/>
      <x:c r="E125" s="4"/>
      <x:c r="F125" s="4"/>
      <x:c r="G125" s="4"/>
      <x:c r="H125" s="4"/>
      <x:c r="I125" s="4"/>
      <x:c r="J125" s="4"/>
      <x:c r="K125" s="4"/>
      <x:c r="L125" s="4"/>
    </x:row>
    <x:row r="126">
      <x:c r="A126" s="4"/>
      <x:c r="B126" s="4"/>
      <x:c r="C126" s="4"/>
      <x:c r="D126" s="4"/>
      <x:c r="E126" s="4"/>
      <x:c r="F126" s="4"/>
      <x:c r="G126" s="4"/>
      <x:c r="H126" s="4"/>
      <x:c r="I126" s="4"/>
      <x:c r="J126" s="4"/>
      <x:c r="K126" s="4"/>
      <x:c r="L126" s="4"/>
    </x:row>
    <x:row r="127">
      <x:c r="A127" s="4"/>
      <x:c r="B127" s="4"/>
      <x:c r="C127" s="4"/>
      <x:c r="D127" s="4"/>
      <x:c r="E127" s="4"/>
      <x:c r="F127" s="4"/>
      <x:c r="G127" s="4"/>
      <x:c r="H127" s="4"/>
      <x:c r="I127" s="4"/>
      <x:c r="J127" s="4"/>
      <x:c r="K127" s="4"/>
      <x:c r="L127" s="4"/>
    </x:row>
    <x:row r="128">
      <x:c r="A128" s="4"/>
      <x:c r="B128" s="4"/>
      <x:c r="C128" s="4"/>
      <x:c r="D128" s="4"/>
      <x:c r="E128" s="4"/>
      <x:c r="F128" s="4"/>
      <x:c r="G128" s="4"/>
      <x:c r="H128" s="4"/>
      <x:c r="I128" s="4"/>
      <x:c r="J128" s="4"/>
      <x:c r="K128" s="4"/>
      <x:c r="L128" s="4"/>
    </x:row>
    <x:row r="129">
      <x:c r="A129" s="4"/>
      <x:c r="B129" s="4"/>
      <x:c r="C129" s="4"/>
      <x:c r="D129" s="4"/>
      <x:c r="E129" s="4"/>
      <x:c r="F129" s="4"/>
      <x:c r="G129" s="4"/>
      <x:c r="H129" s="4"/>
      <x:c r="I129" s="4"/>
      <x:c r="J129" s="4"/>
      <x:c r="K129" s="4"/>
      <x:c r="L129" s="4"/>
    </x:row>
    <x:row r="130">
      <x:c r="A130" s="4"/>
      <x:c r="B130" s="4"/>
      <x:c r="C130" s="4"/>
      <x:c r="D130" s="4"/>
      <x:c r="E130" s="4"/>
      <x:c r="F130" s="4"/>
      <x:c r="G130" s="4"/>
      <x:c r="H130" s="4"/>
      <x:c r="I130" s="4"/>
      <x:c r="J130" s="4"/>
      <x:c r="K130" s="4"/>
      <x:c r="L130" s="4"/>
    </x:row>
    <x:row r="131">
      <x:c r="A131" s="4"/>
      <x:c r="B131" s="4"/>
      <x:c r="C131" s="4"/>
      <x:c r="D131" s="4"/>
      <x:c r="E131" s="4"/>
      <x:c r="F131" s="4"/>
      <x:c r="G131" s="4"/>
      <x:c r="H131" s="4"/>
      <x:c r="I131" s="4"/>
      <x:c r="J131" s="4"/>
      <x:c r="K131" s="4"/>
      <x:c r="L131" s="4"/>
    </x:row>
    <x:row r="132">
      <x:c r="A132" s="4"/>
      <x:c r="B132" s="4"/>
      <x:c r="C132" s="4"/>
      <x:c r="D132" s="4"/>
      <x:c r="E132" s="4"/>
      <x:c r="F132" s="4"/>
      <x:c r="G132" s="4"/>
      <x:c r="H132" s="4"/>
      <x:c r="I132" s="4"/>
      <x:c r="J132" s="4"/>
      <x:c r="K132" s="4"/>
      <x:c r="L132" s="4"/>
    </x:row>
    <x:row r="133">
      <x:c r="A133" s="4"/>
      <x:c r="B133" s="4"/>
      <x:c r="C133" s="4"/>
      <x:c r="D133" s="4"/>
      <x:c r="E133" s="4"/>
      <x:c r="F133" s="4"/>
      <x:c r="G133" s="4"/>
      <x:c r="H133" s="4"/>
      <x:c r="I133" s="4"/>
      <x:c r="J133" s="4"/>
      <x:c r="K133" s="4"/>
      <x:c r="L133" s="4"/>
    </x:row>
    <x:row r="134">
      <x:c r="A134" s="4"/>
      <x:c r="B134" s="4"/>
      <x:c r="C134" s="4"/>
      <x:c r="D134" s="4"/>
      <x:c r="E134" s="4"/>
      <x:c r="F134" s="4"/>
      <x:c r="G134" s="4"/>
      <x:c r="H134" s="4"/>
      <x:c r="I134" s="4"/>
      <x:c r="J134" s="4"/>
      <x:c r="K134" s="4"/>
      <x:c r="L134" s="4"/>
    </x:row>
    <x:row r="135">
      <x:c r="A135" s="4"/>
      <x:c r="B135" s="4"/>
      <x:c r="C135" s="4"/>
      <x:c r="D135" s="4"/>
      <x:c r="E135" s="4"/>
      <x:c r="F135" s="4"/>
      <x:c r="G135" s="4"/>
      <x:c r="H135" s="4"/>
      <x:c r="I135" s="4"/>
      <x:c r="J135" s="4"/>
      <x:c r="K135" s="4"/>
      <x:c r="L135" s="4"/>
    </x:row>
    <x:row r="136">
      <x:c r="A136" s="4"/>
      <x:c r="B136" s="4"/>
      <x:c r="C136" s="4"/>
      <x:c r="D136" s="4"/>
      <x:c r="E136" s="4"/>
      <x:c r="F136" s="4"/>
      <x:c r="G136" s="4"/>
      <x:c r="H136" s="4"/>
      <x:c r="I136" s="4"/>
      <x:c r="J136" s="4"/>
      <x:c r="K136" s="4"/>
      <x:c r="L136" s="4"/>
    </x:row>
    <x:row r="137">
      <x:c r="A137" s="4"/>
      <x:c r="B137" s="4"/>
      <x:c r="C137" s="4"/>
      <x:c r="D137" s="4"/>
      <x:c r="E137" s="4"/>
      <x:c r="F137" s="4"/>
      <x:c r="G137" s="4"/>
      <x:c r="H137" s="4"/>
      <x:c r="I137" s="4"/>
      <x:c r="J137" s="4"/>
      <x:c r="K137" s="4"/>
      <x:c r="L137" s="4"/>
    </x:row>
    <x:row r="138">
      <x:c r="A138" s="4"/>
      <x:c r="B138" s="4"/>
      <x:c r="C138" s="4"/>
      <x:c r="D138" s="4"/>
      <x:c r="E138" s="4"/>
      <x:c r="F138" s="4"/>
      <x:c r="G138" s="4"/>
      <x:c r="H138" s="4"/>
      <x:c r="I138" s="4"/>
      <x:c r="J138" s="4"/>
      <x:c r="K138" s="4"/>
      <x:c r="L138" s="4"/>
    </x:row>
    <x:row r="139">
      <x:c r="A139" s="4"/>
      <x:c r="B139" s="4"/>
      <x:c r="C139" s="4"/>
      <x:c r="D139" s="4"/>
      <x:c r="E139" s="4"/>
      <x:c r="F139" s="4"/>
      <x:c r="G139" s="4"/>
      <x:c r="H139" s="4"/>
      <x:c r="I139" s="4"/>
      <x:c r="J139" s="4"/>
      <x:c r="K139" s="4"/>
      <x:c r="L139" s="4"/>
    </x:row>
    <x:row r="140">
      <x:c r="A140" s="4"/>
      <x:c r="B140" s="4"/>
      <x:c r="C140" s="4"/>
      <x:c r="D140" s="4"/>
      <x:c r="E140" s="4"/>
      <x:c r="F140" s="4"/>
      <x:c r="G140" s="4"/>
      <x:c r="H140" s="4"/>
      <x:c r="I140" s="4"/>
      <x:c r="J140" s="4"/>
      <x:c r="K140" s="4"/>
      <x:c r="L140" s="4"/>
    </x:row>
    <x:row r="141">
      <x:c r="A141" s="4"/>
      <x:c r="B141" s="4"/>
      <x:c r="C141" s="4"/>
      <x:c r="D141" s="4"/>
      <x:c r="E141" s="4"/>
      <x:c r="F141" s="4"/>
      <x:c r="G141" s="4"/>
      <x:c r="H141" s="4"/>
      <x:c r="I141" s="4"/>
      <x:c r="J141" s="4"/>
      <x:c r="K141" s="4"/>
      <x:c r="L141" s="4"/>
    </x:row>
    <x:row r="142">
      <x:c r="A142" s="4"/>
      <x:c r="B142" s="4"/>
      <x:c r="C142" s="4"/>
      <x:c r="D142" s="4"/>
      <x:c r="E142" s="4"/>
      <x:c r="F142" s="4"/>
      <x:c r="G142" s="4"/>
      <x:c r="H142" s="4"/>
      <x:c r="I142" s="4"/>
      <x:c r="J142" s="4"/>
      <x:c r="K142" s="4"/>
      <x:c r="L142" s="4"/>
    </x:row>
    <x:row r="143">
      <x:c r="A143" s="4"/>
      <x:c r="B143" s="4"/>
      <x:c r="C143" s="4"/>
      <x:c r="D143" s="4"/>
      <x:c r="E143" s="4"/>
      <x:c r="F143" s="4"/>
      <x:c r="G143" s="4"/>
      <x:c r="H143" s="4"/>
      <x:c r="I143" s="4"/>
      <x:c r="J143" s="4"/>
      <x:c r="K143" s="4"/>
      <x:c r="L143" s="4"/>
    </x:row>
    <x:row r="144">
      <x:c r="A144" s="4"/>
      <x:c r="B144" s="4"/>
      <x:c r="C144" s="4"/>
      <x:c r="D144" s="4"/>
      <x:c r="E144" s="4"/>
      <x:c r="F144" s="4"/>
      <x:c r="G144" s="4"/>
      <x:c r="H144" s="4"/>
      <x:c r="I144" s="4"/>
      <x:c r="J144" s="4"/>
      <x:c r="K144" s="4"/>
      <x:c r="L144" s="4"/>
    </x:row>
    <x:row r="145">
      <x:c r="A145" s="4"/>
      <x:c r="B145" s="4"/>
      <x:c r="C145" s="4"/>
      <x:c r="D145" s="4"/>
      <x:c r="E145" s="4"/>
      <x:c r="F145" s="4"/>
      <x:c r="G145" s="4"/>
      <x:c r="H145" s="4"/>
      <x:c r="I145" s="4"/>
      <x:c r="J145" s="4"/>
      <x:c r="K145" s="4"/>
      <x:c r="L145" s="4"/>
    </x:row>
    <x:row r="146">
      <x:c r="A146" s="4"/>
      <x:c r="B146" s="4"/>
      <x:c r="C146" s="4"/>
      <x:c r="D146" s="4"/>
      <x:c r="E146" s="4"/>
      <x:c r="F146" s="4"/>
      <x:c r="G146" s="4"/>
      <x:c r="H146" s="4"/>
      <x:c r="I146" s="4"/>
      <x:c r="J146" s="4"/>
      <x:c r="K146" s="4"/>
      <x:c r="L146" s="4"/>
    </x:row>
    <x:row r="147">
      <x:c r="A147" s="4"/>
      <x:c r="B147" s="4"/>
      <x:c r="C147" s="4"/>
      <x:c r="D147" s="4"/>
      <x:c r="E147" s="4"/>
      <x:c r="F147" s="4"/>
      <x:c r="G147" s="4"/>
      <x:c r="H147" s="4"/>
      <x:c r="I147" s="4"/>
      <x:c r="J147" s="4"/>
      <x:c r="K147" s="4"/>
      <x:c r="L147" s="4"/>
    </x:row>
    <x:row r="148">
      <x:c r="A148" s="4"/>
      <x:c r="B148" s="4"/>
      <x:c r="C148" s="4"/>
      <x:c r="D148" s="4"/>
      <x:c r="E148" s="4"/>
      <x:c r="F148" s="4"/>
      <x:c r="G148" s="4"/>
      <x:c r="H148" s="4"/>
      <x:c r="I148" s="4"/>
      <x:c r="J148" s="4"/>
      <x:c r="K148" s="4"/>
      <x:c r="L148" s="4"/>
    </x:row>
    <x:row r="149">
      <x:c r="A149" s="4"/>
      <x:c r="B149" s="4"/>
      <x:c r="C149" s="4"/>
      <x:c r="D149" s="4"/>
      <x:c r="E149" s="4"/>
      <x:c r="F149" s="4"/>
      <x:c r="G149" s="4"/>
      <x:c r="H149" s="4"/>
      <x:c r="I149" s="4"/>
      <x:c r="J149" s="4"/>
      <x:c r="K149" s="4"/>
      <x:c r="L149" s="4"/>
    </x:row>
    <x:row r="150">
      <x:c r="A150" s="4"/>
      <x:c r="B150" s="4"/>
      <x:c r="C150" s="4"/>
      <x:c r="D150" s="4"/>
      <x:c r="E150" s="4"/>
      <x:c r="F150" s="4"/>
      <x:c r="G150" s="4"/>
      <x:c r="H150" s="4"/>
      <x:c r="I150" s="4"/>
      <x:c r="J150" s="4"/>
      <x:c r="K150" s="4"/>
      <x:c r="L150" s="4"/>
    </x:row>
    <x:row r="151">
      <x:c r="A151" s="4"/>
      <x:c r="B151" s="4"/>
      <x:c r="C151" s="4"/>
      <x:c r="D151" s="4"/>
      <x:c r="E151" s="4"/>
      <x:c r="F151" s="4"/>
      <x:c r="G151" s="4"/>
      <x:c r="H151" s="4"/>
      <x:c r="I151" s="4"/>
      <x:c r="J151" s="4"/>
      <x:c r="K151" s="4"/>
      <x:c r="L151" s="4"/>
    </x:row>
    <x:row r="152">
      <x:c r="A152" s="4"/>
      <x:c r="B152" s="4"/>
      <x:c r="C152" s="4"/>
      <x:c r="D152" s="4"/>
      <x:c r="E152" s="4"/>
      <x:c r="F152" s="4"/>
      <x:c r="G152" s="4"/>
      <x:c r="H152" s="4"/>
      <x:c r="I152" s="4"/>
      <x:c r="J152" s="4"/>
      <x:c r="K152" s="4"/>
      <x:c r="L152" s="4"/>
    </x:row>
    <x:row r="153">
      <x:c r="A153" s="4"/>
      <x:c r="B153" s="4"/>
      <x:c r="C153" s="4"/>
      <x:c r="D153" s="4"/>
      <x:c r="E153" s="4"/>
      <x:c r="F153" s="4"/>
      <x:c r="G153" s="4"/>
      <x:c r="H153" s="4"/>
      <x:c r="I153" s="4"/>
      <x:c r="J153" s="4"/>
      <x:c r="K153" s="4"/>
      <x:c r="L153" s="4"/>
    </x:row>
    <x:row r="154">
      <x:c r="A154" s="4"/>
      <x:c r="B154" s="4"/>
      <x:c r="C154" s="4"/>
      <x:c r="D154" s="4"/>
      <x:c r="E154" s="4"/>
      <x:c r="F154" s="4"/>
      <x:c r="G154" s="4"/>
      <x:c r="H154" s="4"/>
      <x:c r="I154" s="4"/>
      <x:c r="J154" s="4"/>
      <x:c r="K154" s="4"/>
      <x:c r="L154" s="4"/>
    </x:row>
    <x:row r="155">
      <x:c r="A155" s="4"/>
      <x:c r="B155" s="4"/>
      <x:c r="C155" s="4"/>
      <x:c r="D155" s="4"/>
      <x:c r="E155" s="4"/>
      <x:c r="F155" s="4"/>
      <x:c r="G155" s="4"/>
      <x:c r="H155" s="4"/>
      <x:c r="I155" s="4"/>
      <x:c r="J155" s="4"/>
      <x:c r="K155" s="4"/>
      <x:c r="L155" s="4"/>
    </x:row>
    <x:row r="156">
      <x:c r="A156" s="4"/>
      <x:c r="B156" s="4"/>
      <x:c r="C156" s="4"/>
      <x:c r="D156" s="4"/>
      <x:c r="E156" s="4"/>
      <x:c r="F156" s="4"/>
      <x:c r="G156" s="4"/>
      <x:c r="H156" s="4"/>
      <x:c r="I156" s="4"/>
      <x:c r="J156" s="4"/>
      <x:c r="K156" s="4"/>
      <x:c r="L156" s="4"/>
    </x:row>
    <x:row r="157">
      <x:c r="A157" s="4"/>
      <x:c r="B157" s="4"/>
      <x:c r="C157" s="4"/>
      <x:c r="D157" s="4"/>
      <x:c r="E157" s="4"/>
      <x:c r="F157" s="4"/>
      <x:c r="G157" s="4"/>
      <x:c r="H157" s="4"/>
      <x:c r="I157" s="4"/>
      <x:c r="J157" s="4"/>
      <x:c r="K157" s="4"/>
      <x:c r="L157" s="4"/>
    </x:row>
    <x:row r="158">
      <x:c r="A158" s="4"/>
      <x:c r="B158" s="4"/>
      <x:c r="C158" s="4"/>
      <x:c r="D158" s="4"/>
      <x:c r="E158" s="4"/>
      <x:c r="F158" s="4"/>
      <x:c r="G158" s="4"/>
      <x:c r="H158" s="4"/>
      <x:c r="I158" s="4"/>
      <x:c r="J158" s="4"/>
      <x:c r="K158" s="4"/>
      <x:c r="L158" s="4"/>
    </x:row>
    <x:row r="159">
      <x:c r="A159" s="4"/>
      <x:c r="B159" s="4"/>
      <x:c r="C159" s="4"/>
      <x:c r="D159" s="4"/>
      <x:c r="E159" s="4"/>
      <x:c r="F159" s="4"/>
      <x:c r="G159" s="4"/>
      <x:c r="H159" s="4"/>
      <x:c r="I159" s="4"/>
      <x:c r="J159" s="4"/>
      <x:c r="K159" s="4"/>
      <x:c r="L159" s="4"/>
    </x:row>
    <x:row r="160">
      <x:c r="A160" s="4"/>
      <x:c r="B160" s="4"/>
      <x:c r="C160" s="4"/>
      <x:c r="D160" s="4"/>
      <x:c r="E160" s="4"/>
      <x:c r="F160" s="4"/>
      <x:c r="G160" s="4"/>
      <x:c r="H160" s="4"/>
      <x:c r="I160" s="4"/>
      <x:c r="J160" s="4"/>
      <x:c r="K160" s="4"/>
      <x:c r="L160" s="4"/>
    </x:row>
    <x:row r="161">
      <x:c r="A161" s="4"/>
      <x:c r="B161" s="4"/>
      <x:c r="C161" s="4"/>
      <x:c r="D161" s="4"/>
      <x:c r="E161" s="4"/>
      <x:c r="F161" s="4"/>
      <x:c r="G161" s="4"/>
      <x:c r="H161" s="4"/>
      <x:c r="I161" s="4"/>
      <x:c r="J161" s="4"/>
      <x:c r="K161" s="4"/>
      <x:c r="L161" s="4"/>
    </x:row>
    <x:row r="162">
      <x:c r="A162" s="4"/>
      <x:c r="B162" s="4"/>
      <x:c r="C162" s="4"/>
      <x:c r="D162" s="4"/>
      <x:c r="E162" s="4"/>
      <x:c r="F162" s="4"/>
      <x:c r="G162" s="4"/>
      <x:c r="H162" s="4"/>
      <x:c r="I162" s="4"/>
      <x:c r="J162" s="4"/>
      <x:c r="K162" s="4"/>
      <x:c r="L162" s="4"/>
    </x:row>
    <x:row r="163">
      <x:c r="A163" s="4"/>
      <x:c r="B163" s="4"/>
      <x:c r="C163" s="4"/>
      <x:c r="D163" s="4"/>
      <x:c r="E163" s="4"/>
      <x:c r="F163" s="4"/>
      <x:c r="G163" s="4"/>
      <x:c r="H163" s="4"/>
      <x:c r="I163" s="4"/>
      <x:c r="J163" s="4"/>
      <x:c r="K163" s="4"/>
      <x:c r="L163" s="4"/>
    </x:row>
    <x:row r="164">
      <x:c r="A164" s="4"/>
      <x:c r="B164" s="4"/>
      <x:c r="C164" s="4"/>
      <x:c r="D164" s="4"/>
      <x:c r="E164" s="4"/>
      <x:c r="F164" s="4"/>
      <x:c r="G164" s="4"/>
      <x:c r="H164" s="4"/>
      <x:c r="I164" s="4"/>
      <x:c r="J164" s="4"/>
      <x:c r="K164" s="4"/>
      <x:c r="L164" s="4"/>
    </x:row>
    <x:row r="165">
      <x:c r="A165" s="4"/>
      <x:c r="B165" s="4"/>
      <x:c r="C165" s="4"/>
      <x:c r="D165" s="4"/>
      <x:c r="E165" s="4"/>
      <x:c r="F165" s="4"/>
      <x:c r="G165" s="4"/>
      <x:c r="H165" s="4"/>
      <x:c r="I165" s="4"/>
      <x:c r="J165" s="4"/>
      <x:c r="K165" s="4"/>
      <x:c r="L165" s="4"/>
    </x:row>
    <x:row r="166">
      <x:c r="A166" s="4"/>
      <x:c r="B166" s="4"/>
      <x:c r="C166" s="4"/>
      <x:c r="D166" s="4"/>
      <x:c r="E166" s="4"/>
      <x:c r="F166" s="4"/>
      <x:c r="G166" s="4"/>
      <x:c r="H166" s="4"/>
      <x:c r="I166" s="4"/>
      <x:c r="J166" s="4"/>
      <x:c r="K166" s="4"/>
      <x:c r="L166" s="4"/>
    </x:row>
    <x:row r="167">
      <x:c r="A167" s="4"/>
      <x:c r="B167" s="4"/>
      <x:c r="C167" s="4"/>
      <x:c r="D167" s="4"/>
      <x:c r="E167" s="4"/>
      <x:c r="F167" s="4"/>
      <x:c r="G167" s="4"/>
      <x:c r="H167" s="4"/>
      <x:c r="I167" s="4"/>
      <x:c r="J167" s="4"/>
      <x:c r="K167" s="4"/>
      <x:c r="L167" s="4"/>
    </x:row>
    <x:row r="168">
      <x:c r="A168" s="4"/>
      <x:c r="B168" s="4"/>
      <x:c r="C168" s="4"/>
      <x:c r="D168" s="4"/>
      <x:c r="E168" s="4"/>
      <x:c r="F168" s="4"/>
      <x:c r="G168" s="4"/>
      <x:c r="H168" s="4"/>
      <x:c r="I168" s="4"/>
      <x:c r="J168" s="4"/>
      <x:c r="K168" s="4"/>
      <x:c r="L168" s="4"/>
    </x:row>
    <x:row r="169">
      <x:c r="A169" s="4"/>
      <x:c r="B169" s="4"/>
      <x:c r="C169" s="4"/>
      <x:c r="D169" s="4"/>
      <x:c r="E169" s="4"/>
      <x:c r="F169" s="4"/>
      <x:c r="G169" s="4"/>
      <x:c r="H169" s="4"/>
      <x:c r="I169" s="4"/>
      <x:c r="J169" s="4"/>
      <x:c r="K169" s="4"/>
      <x:c r="L169" s="4"/>
    </x:row>
    <x:row r="170">
      <x:c r="A170" s="4"/>
      <x:c r="B170" s="4"/>
      <x:c r="C170" s="4"/>
      <x:c r="D170" s="4"/>
      <x:c r="E170" s="4"/>
      <x:c r="F170" s="4"/>
      <x:c r="G170" s="4"/>
      <x:c r="H170" s="4"/>
      <x:c r="I170" s="4"/>
      <x:c r="J170" s="4"/>
      <x:c r="K170" s="4"/>
      <x:c r="L170" s="4"/>
    </x:row>
    <x:row r="171">
      <x:c r="A171" s="4"/>
      <x:c r="B171" s="4"/>
      <x:c r="C171" s="4"/>
      <x:c r="D171" s="4"/>
      <x:c r="E171" s="4"/>
      <x:c r="F171" s="4"/>
      <x:c r="G171" s="4"/>
      <x:c r="H171" s="4"/>
      <x:c r="I171" s="4"/>
      <x:c r="J171" s="4"/>
      <x:c r="K171" s="4"/>
      <x:c r="L171" s="4"/>
    </x:row>
    <x:row r="172">
      <x:c r="A172" s="4"/>
      <x:c r="B172" s="4"/>
      <x:c r="C172" s="4"/>
      <x:c r="D172" s="4"/>
      <x:c r="E172" s="4"/>
      <x:c r="F172" s="4"/>
      <x:c r="G172" s="4"/>
      <x:c r="H172" s="4"/>
      <x:c r="I172" s="4"/>
      <x:c r="J172" s="4"/>
      <x:c r="K172" s="4"/>
      <x:c r="L172" s="4"/>
    </x:row>
    <x:row r="173">
      <x:c r="A173" s="4"/>
      <x:c r="B173" s="4"/>
      <x:c r="C173" s="4"/>
      <x:c r="D173" s="4"/>
      <x:c r="E173" s="4"/>
      <x:c r="F173" s="4"/>
      <x:c r="G173" s="4"/>
      <x:c r="H173" s="4"/>
      <x:c r="I173" s="4"/>
      <x:c r="J173" s="4"/>
      <x:c r="K173" s="4"/>
      <x:c r="L173" s="4"/>
    </x:row>
    <x:row r="174">
      <x:c r="A174" s="4"/>
      <x:c r="B174" s="4"/>
      <x:c r="C174" s="4"/>
      <x:c r="D174" s="4"/>
      <x:c r="E174" s="4"/>
      <x:c r="F174" s="4"/>
      <x:c r="G174" s="4"/>
      <x:c r="H174" s="4"/>
      <x:c r="I174" s="4"/>
      <x:c r="J174" s="4"/>
      <x:c r="K174" s="4"/>
      <x:c r="L174" s="4"/>
    </x:row>
    <x:row r="175">
      <x:c r="A175" s="4"/>
      <x:c r="B175" s="4"/>
      <x:c r="C175" s="4"/>
      <x:c r="D175" s="4"/>
      <x:c r="E175" s="4"/>
      <x:c r="F175" s="4"/>
      <x:c r="G175" s="4"/>
      <x:c r="H175" s="4"/>
      <x:c r="I175" s="4"/>
      <x:c r="J175" s="4"/>
      <x:c r="K175" s="4"/>
      <x:c r="L175" s="4"/>
    </x:row>
    <x:row r="176">
      <x:c r="A176" s="4"/>
      <x:c r="B176" s="4"/>
      <x:c r="C176" s="4"/>
      <x:c r="D176" s="4"/>
      <x:c r="E176" s="4"/>
      <x:c r="F176" s="4"/>
      <x:c r="G176" s="4"/>
      <x:c r="H176" s="4"/>
      <x:c r="I176" s="4"/>
      <x:c r="J176" s="4"/>
      <x:c r="K176" s="4"/>
      <x:c r="L176" s="4"/>
    </x:row>
    <x:row r="177">
      <x:c r="A177" s="4"/>
      <x:c r="B177" s="4"/>
      <x:c r="C177" s="4"/>
      <x:c r="D177" s="4"/>
      <x:c r="E177" s="4"/>
      <x:c r="F177" s="4"/>
      <x:c r="G177" s="4"/>
      <x:c r="H177" s="4"/>
      <x:c r="I177" s="4"/>
      <x:c r="J177" s="4"/>
      <x:c r="K177" s="4"/>
      <x:c r="L177" s="4"/>
    </x:row>
    <x:row r="178">
      <x:c r="A178" s="4"/>
      <x:c r="B178" s="4"/>
      <x:c r="C178" s="4"/>
      <x:c r="D178" s="4"/>
      <x:c r="E178" s="4"/>
      <x:c r="F178" s="4"/>
      <x:c r="G178" s="4"/>
      <x:c r="H178" s="4"/>
      <x:c r="I178" s="4"/>
      <x:c r="J178" s="4"/>
      <x:c r="K178" s="4"/>
      <x:c r="L178" s="4"/>
    </x:row>
    <x:row r="179">
      <x:c r="A179" s="4"/>
      <x:c r="B179" s="4"/>
      <x:c r="C179" s="4"/>
      <x:c r="D179" s="4"/>
      <x:c r="E179" s="4"/>
      <x:c r="F179" s="4"/>
      <x:c r="G179" s="4"/>
      <x:c r="H179" s="4"/>
      <x:c r="I179" s="4"/>
      <x:c r="J179" s="4"/>
      <x:c r="K179" s="4"/>
      <x:c r="L179" s="4"/>
    </x:row>
    <x:row r="180">
      <x:c r="A180" s="4"/>
      <x:c r="B180" s="4"/>
      <x:c r="C180" s="4"/>
      <x:c r="D180" s="4"/>
      <x:c r="E180" s="4"/>
      <x:c r="F180" s="4"/>
      <x:c r="G180" s="4"/>
      <x:c r="H180" s="4"/>
      <x:c r="I180" s="4"/>
      <x:c r="J180" s="4"/>
      <x:c r="K180" s="4"/>
      <x:c r="L180" s="4"/>
    </x:row>
    <x:row r="181">
      <x:c r="A181" s="4"/>
      <x:c r="B181" s="4"/>
      <x:c r="C181" s="4"/>
      <x:c r="D181" s="4"/>
      <x:c r="E181" s="4"/>
      <x:c r="F181" s="4"/>
      <x:c r="G181" s="4"/>
      <x:c r="H181" s="4"/>
      <x:c r="I181" s="4"/>
      <x:c r="J181" s="4"/>
      <x:c r="K181" s="4"/>
      <x:c r="L181" s="4"/>
    </x:row>
    <x:row r="182">
      <x:c r="A182" s="4"/>
      <x:c r="B182" s="4"/>
      <x:c r="C182" s="4"/>
      <x:c r="D182" s="4"/>
      <x:c r="E182" s="4"/>
      <x:c r="F182" s="4"/>
      <x:c r="G182" s="4"/>
      <x:c r="H182" s="4"/>
      <x:c r="I182" s="4"/>
      <x:c r="J182" s="4"/>
      <x:c r="K182" s="4"/>
      <x:c r="L182" s="4"/>
    </x:row>
    <x:row r="183">
      <x:c r="A183" s="4"/>
      <x:c r="B183" s="4"/>
      <x:c r="C183" s="4"/>
      <x:c r="D183" s="4"/>
      <x:c r="E183" s="4"/>
      <x:c r="F183" s="4"/>
      <x:c r="G183" s="4"/>
      <x:c r="H183" s="4"/>
      <x:c r="I183" s="4"/>
      <x:c r="J183" s="4"/>
      <x:c r="K183" s="4"/>
      <x:c r="L183" s="4"/>
    </x:row>
    <x:row r="184">
      <x:c r="A184" s="4"/>
      <x:c r="B184" s="4"/>
      <x:c r="C184" s="4"/>
      <x:c r="D184" s="4"/>
      <x:c r="E184" s="4"/>
      <x:c r="F184" s="4"/>
      <x:c r="G184" s="4"/>
      <x:c r="H184" s="4"/>
      <x:c r="I184" s="4"/>
      <x:c r="J184" s="4"/>
      <x:c r="K184" s="4"/>
      <x:c r="L184" s="4"/>
    </x:row>
    <x:row r="185">
      <x:c r="A185" s="4"/>
      <x:c r="B185" s="4"/>
      <x:c r="C185" s="4"/>
      <x:c r="D185" s="4"/>
      <x:c r="E185" s="4"/>
      <x:c r="F185" s="4"/>
      <x:c r="G185" s="4"/>
      <x:c r="H185" s="4"/>
      <x:c r="I185" s="4"/>
      <x:c r="J185" s="4"/>
      <x:c r="K185" s="4"/>
      <x:c r="L185" s="4"/>
    </x:row>
    <x:row r="186">
      <x:c r="A186" s="4"/>
      <x:c r="B186" s="4"/>
      <x:c r="C186" s="4"/>
      <x:c r="D186" s="4"/>
      <x:c r="E186" s="4"/>
      <x:c r="F186" s="4"/>
      <x:c r="G186" s="4"/>
      <x:c r="H186" s="4"/>
      <x:c r="I186" s="4"/>
      <x:c r="J186" s="4"/>
      <x:c r="K186" s="4"/>
      <x:c r="L186" s="4"/>
    </x:row>
    <x:row r="187">
      <x:c r="A187" s="4"/>
      <x:c r="B187" s="4"/>
      <x:c r="C187" s="4"/>
      <x:c r="D187" s="4"/>
      <x:c r="E187" s="4"/>
      <x:c r="F187" s="4"/>
      <x:c r="G187" s="4"/>
      <x:c r="H187" s="4"/>
      <x:c r="I187" s="4"/>
      <x:c r="J187" s="4"/>
      <x:c r="K187" s="4"/>
      <x:c r="L187" s="4"/>
    </x:row>
    <x:row r="188">
      <x:c r="A188" s="4"/>
      <x:c r="B188" s="4"/>
      <x:c r="C188" s="4"/>
      <x:c r="D188" s="4"/>
      <x:c r="E188" s="4"/>
      <x:c r="F188" s="4"/>
      <x:c r="G188" s="4"/>
      <x:c r="H188" s="4"/>
      <x:c r="I188" s="4"/>
      <x:c r="J188" s="4"/>
      <x:c r="K188" s="4"/>
      <x:c r="L188" s="4"/>
    </x:row>
    <x:row r="189">
      <x:c r="A189" s="4"/>
      <x:c r="B189" s="4"/>
      <x:c r="C189" s="4"/>
      <x:c r="D189" s="4"/>
      <x:c r="E189" s="4"/>
      <x:c r="F189" s="4"/>
      <x:c r="G189" s="4"/>
      <x:c r="H189" s="4"/>
      <x:c r="I189" s="4"/>
      <x:c r="J189" s="4"/>
      <x:c r="K189" s="4"/>
      <x:c r="L189" s="4"/>
    </x:row>
    <x:row r="190">
      <x:c r="A190" s="4"/>
      <x:c r="B190" s="4"/>
      <x:c r="C190" s="4"/>
      <x:c r="D190" s="4"/>
      <x:c r="E190" s="4"/>
      <x:c r="F190" s="4"/>
      <x:c r="G190" s="4"/>
      <x:c r="H190" s="4"/>
      <x:c r="I190" s="4"/>
      <x:c r="J190" s="4"/>
      <x:c r="K190" s="4"/>
      <x:c r="L190" s="4"/>
    </x:row>
    <x:row r="191">
      <x:c r="A191" s="4"/>
      <x:c r="B191" s="4"/>
      <x:c r="C191" s="4"/>
      <x:c r="D191" s="4"/>
      <x:c r="E191" s="4"/>
      <x:c r="F191" s="4"/>
      <x:c r="G191" s="4"/>
      <x:c r="H191" s="4"/>
      <x:c r="I191" s="4"/>
      <x:c r="J191" s="4"/>
      <x:c r="K191" s="4"/>
      <x:c r="L191" s="4"/>
    </x:row>
    <x:row r="192">
      <x:c r="A192" s="4"/>
      <x:c r="B192" s="4"/>
      <x:c r="C192" s="4"/>
      <x:c r="D192" s="4"/>
      <x:c r="E192" s="4"/>
      <x:c r="F192" s="4"/>
      <x:c r="G192" s="4"/>
      <x:c r="H192" s="4"/>
      <x:c r="I192" s="4"/>
      <x:c r="J192" s="4"/>
      <x:c r="K192" s="4"/>
      <x:c r="L192" s="4"/>
    </x:row>
    <x:row r="193">
      <x:c r="A193" s="4"/>
      <x:c r="B193" s="4"/>
      <x:c r="C193" s="4"/>
      <x:c r="D193" s="4"/>
      <x:c r="E193" s="4"/>
      <x:c r="F193" s="4"/>
      <x:c r="G193" s="4"/>
      <x:c r="H193" s="4"/>
      <x:c r="I193" s="4"/>
      <x:c r="J193" s="4"/>
      <x:c r="K193" s="4"/>
      <x:c r="L193" s="4"/>
    </x:row>
    <x:row r="194">
      <x:c r="A194" s="4"/>
      <x:c r="B194" s="4"/>
      <x:c r="C194" s="4"/>
      <x:c r="D194" s="4"/>
      <x:c r="E194" s="4"/>
      <x:c r="F194" s="4"/>
      <x:c r="G194" s="4"/>
      <x:c r="H194" s="4"/>
      <x:c r="I194" s="4"/>
      <x:c r="J194" s="4"/>
      <x:c r="K194" s="4"/>
      <x:c r="L194" s="4"/>
    </x:row>
    <x:row r="195">
      <x:c r="A195" s="4"/>
      <x:c r="B195" s="4"/>
      <x:c r="C195" s="4"/>
      <x:c r="D195" s="4"/>
      <x:c r="E195" s="4"/>
      <x:c r="F195" s="4"/>
      <x:c r="G195" s="4"/>
      <x:c r="H195" s="4"/>
      <x:c r="I195" s="4"/>
      <x:c r="J195" s="4"/>
      <x:c r="K195" s="4"/>
      <x:c r="L195" s="4"/>
    </x:row>
    <x:row r="196">
      <x:c r="A196" s="4"/>
      <x:c r="B196" s="4"/>
      <x:c r="C196" s="4"/>
      <x:c r="D196" s="4"/>
      <x:c r="E196" s="4"/>
      <x:c r="F196" s="4"/>
      <x:c r="G196" s="4"/>
      <x:c r="H196" s="4"/>
      <x:c r="I196" s="4"/>
      <x:c r="J196" s="4"/>
      <x:c r="K196" s="4"/>
      <x:c r="L196" s="4"/>
    </x:row>
    <x:row r="197">
      <x:c r="A197" s="4"/>
      <x:c r="B197" s="4"/>
      <x:c r="C197" s="4"/>
      <x:c r="D197" s="4"/>
      <x:c r="E197" s="4"/>
      <x:c r="F197" s="4"/>
      <x:c r="G197" s="4"/>
      <x:c r="H197" s="4"/>
      <x:c r="I197" s="4"/>
      <x:c r="J197" s="4"/>
      <x:c r="K197" s="4"/>
      <x:c r="L197" s="4"/>
    </x:row>
    <x:row r="198">
      <x:c r="A198" s="4"/>
      <x:c r="B198" s="4"/>
      <x:c r="C198" s="4"/>
      <x:c r="D198" s="4"/>
      <x:c r="E198" s="4"/>
      <x:c r="F198" s="4"/>
      <x:c r="G198" s="4"/>
      <x:c r="H198" s="4"/>
      <x:c r="I198" s="4"/>
      <x:c r="J198" s="4"/>
      <x:c r="K198" s="4"/>
      <x:c r="L198" s="4"/>
    </x:row>
    <x:row r="199">
      <x:c r="A199" s="4"/>
      <x:c r="B199" s="4"/>
      <x:c r="C199" s="4"/>
      <x:c r="D199" s="4"/>
      <x:c r="E199" s="4"/>
      <x:c r="F199" s="4"/>
      <x:c r="G199" s="4"/>
      <x:c r="H199" s="4"/>
      <x:c r="I199" s="4"/>
      <x:c r="J199" s="4"/>
      <x:c r="K199" s="4"/>
      <x:c r="L199" s="4"/>
    </x:row>
    <x:row r="200">
      <x:c r="A200" s="4"/>
      <x:c r="B200" s="4"/>
      <x:c r="C200" s="4"/>
      <x:c r="D200" s="4"/>
      <x:c r="E200" s="4"/>
      <x:c r="F200" s="4"/>
      <x:c r="G200" s="4"/>
      <x:c r="H200" s="4"/>
      <x:c r="I200" s="4"/>
      <x:c r="J200" s="4"/>
      <x:c r="K200" s="4"/>
      <x:c r="L200" s="4"/>
    </x:row>
    <x:row r="201">
      <x:c r="A201" s="4"/>
      <x:c r="B201" s="4"/>
      <x:c r="C201" s="4"/>
      <x:c r="D201" s="4"/>
      <x:c r="E201" s="4"/>
      <x:c r="F201" s="4"/>
      <x:c r="G201" s="4"/>
      <x:c r="H201" s="4"/>
      <x:c r="I201" s="4"/>
      <x:c r="J201" s="4"/>
      <x:c r="K201" s="4"/>
      <x:c r="L201" s="4"/>
    </x:row>
    <x:row r="202">
      <x:c r="A202" s="4"/>
      <x:c r="B202" s="4"/>
      <x:c r="C202" s="4"/>
      <x:c r="D202" s="4"/>
      <x:c r="E202" s="4"/>
      <x:c r="F202" s="4"/>
      <x:c r="G202" s="4"/>
      <x:c r="H202" s="4"/>
      <x:c r="I202" s="4"/>
      <x:c r="J202" s="4"/>
      <x:c r="K202" s="4"/>
      <x:c r="L202" s="4"/>
    </x:row>
    <x:row r="203">
      <x:c r="A203" s="4"/>
      <x:c r="B203" s="4"/>
      <x:c r="C203" s="4"/>
      <x:c r="D203" s="4"/>
      <x:c r="E203" s="4"/>
      <x:c r="F203" s="4"/>
      <x:c r="G203" s="4"/>
      <x:c r="H203" s="4"/>
      <x:c r="I203" s="4"/>
      <x:c r="J203" s="4"/>
      <x:c r="K203" s="4"/>
      <x:c r="L203" s="4"/>
    </x:row>
    <x:row r="204">
      <x:c r="A204" s="4"/>
      <x:c r="B204" s="4"/>
      <x:c r="C204" s="4"/>
      <x:c r="D204" s="4"/>
      <x:c r="E204" s="4"/>
      <x:c r="F204" s="4"/>
      <x:c r="G204" s="4"/>
      <x:c r="H204" s="4"/>
      <x:c r="I204" s="4"/>
      <x:c r="J204" s="4"/>
      <x:c r="K204" s="4"/>
      <x:c r="L204" s="4"/>
    </x:row>
    <x:row r="205">
      <x:c r="A205" s="4"/>
      <x:c r="B205" s="4"/>
      <x:c r="C205" s="4"/>
      <x:c r="D205" s="4"/>
      <x:c r="E205" s="4"/>
      <x:c r="F205" s="4"/>
      <x:c r="G205" s="4"/>
      <x:c r="H205" s="4"/>
      <x:c r="I205" s="4"/>
      <x:c r="J205" s="4"/>
      <x:c r="K205" s="4"/>
      <x:c r="L205" s="4"/>
    </x:row>
    <x:row r="206">
      <x:c r="A206" s="4"/>
      <x:c r="B206" s="4"/>
      <x:c r="C206" s="4"/>
      <x:c r="D206" s="4"/>
      <x:c r="E206" s="4"/>
      <x:c r="F206" s="4"/>
      <x:c r="G206" s="4"/>
      <x:c r="H206" s="4"/>
      <x:c r="I206" s="4"/>
      <x:c r="J206" s="4"/>
      <x:c r="K206" s="4"/>
      <x:c r="L206" s="4"/>
    </x:row>
    <x:row r="207">
      <x:c r="A207" s="4"/>
      <x:c r="B207" s="4"/>
      <x:c r="C207" s="4"/>
      <x:c r="D207" s="4"/>
      <x:c r="E207" s="4"/>
      <x:c r="F207" s="4"/>
      <x:c r="G207" s="4"/>
      <x:c r="H207" s="4"/>
      <x:c r="I207" s="4"/>
      <x:c r="J207" s="4"/>
      <x:c r="K207" s="4"/>
      <x:c r="L207" s="4"/>
    </x:row>
    <x:row r="208">
      <x:c r="A208" s="4"/>
      <x:c r="B208" s="4"/>
      <x:c r="C208" s="4"/>
      <x:c r="D208" s="4"/>
      <x:c r="E208" s="4"/>
      <x:c r="F208" s="4"/>
      <x:c r="G208" s="4"/>
      <x:c r="H208" s="4"/>
      <x:c r="I208" s="4"/>
      <x:c r="J208" s="4"/>
      <x:c r="K208" s="4"/>
      <x:c r="L208" s="4"/>
    </x:row>
    <x:row r="209">
      <x:c r="A209" s="4"/>
      <x:c r="B209" s="4"/>
      <x:c r="C209" s="4"/>
      <x:c r="D209" s="4"/>
      <x:c r="E209" s="4"/>
      <x:c r="F209" s="4"/>
      <x:c r="G209" s="4"/>
      <x:c r="H209" s="4"/>
      <x:c r="I209" s="4"/>
      <x:c r="J209" s="4"/>
      <x:c r="K209" s="4"/>
      <x:c r="L209" s="4"/>
    </x:row>
    <x:row r="210">
      <x:c r="A210" s="4"/>
      <x:c r="B210" s="4"/>
      <x:c r="C210" s="4"/>
      <x:c r="D210" s="4"/>
      <x:c r="E210" s="4"/>
      <x:c r="F210" s="4"/>
      <x:c r="G210" s="4"/>
      <x:c r="H210" s="4"/>
      <x:c r="I210" s="4"/>
      <x:c r="J210" s="4"/>
      <x:c r="K210" s="4"/>
      <x:c r="L210" s="4"/>
    </x:row>
    <x:row r="211">
      <x:c r="A211" s="4"/>
      <x:c r="B211" s="4"/>
      <x:c r="C211" s="4"/>
      <x:c r="D211" s="4"/>
      <x:c r="E211" s="4"/>
      <x:c r="F211" s="4"/>
      <x:c r="G211" s="4"/>
      <x:c r="H211" s="4"/>
      <x:c r="I211" s="4"/>
      <x:c r="J211" s="4"/>
      <x:c r="K211" s="4"/>
      <x:c r="L211" s="4"/>
    </x:row>
    <x:row r="212">
      <x:c r="A212" s="4"/>
      <x:c r="B212" s="4"/>
      <x:c r="C212" s="4"/>
      <x:c r="D212" s="4"/>
      <x:c r="E212" s="4"/>
      <x:c r="F212" s="4"/>
      <x:c r="G212" s="4"/>
      <x:c r="H212" s="4"/>
      <x:c r="I212" s="4"/>
      <x:c r="J212" s="4"/>
      <x:c r="K212" s="4"/>
      <x:c r="L212" s="4"/>
    </x:row>
    <x:row r="213">
      <x:c r="A213" s="4"/>
      <x:c r="B213" s="4"/>
      <x:c r="C213" s="4"/>
      <x:c r="D213" s="4"/>
      <x:c r="E213" s="4"/>
      <x:c r="F213" s="4"/>
      <x:c r="G213" s="4"/>
      <x:c r="H213" s="4"/>
      <x:c r="I213" s="4"/>
      <x:c r="J213" s="4"/>
      <x:c r="K213" s="4"/>
      <x:c r="L213" s="4"/>
    </x:row>
    <x:row r="214">
      <x:c r="A214" s="4"/>
      <x:c r="B214" s="4"/>
      <x:c r="C214" s="4"/>
      <x:c r="D214" s="4"/>
      <x:c r="E214" s="4"/>
      <x:c r="F214" s="4"/>
      <x:c r="G214" s="4"/>
      <x:c r="H214" s="4"/>
      <x:c r="I214" s="4"/>
      <x:c r="J214" s="4"/>
      <x:c r="K214" s="4"/>
      <x:c r="L214" s="4"/>
    </x:row>
    <x:row r="215">
      <x:c r="A215" s="4"/>
      <x:c r="B215" s="4"/>
      <x:c r="C215" s="4"/>
      <x:c r="D215" s="4"/>
      <x:c r="E215" s="4"/>
      <x:c r="F215" s="4"/>
      <x:c r="G215" s="4"/>
      <x:c r="H215" s="4"/>
      <x:c r="I215" s="4"/>
      <x:c r="J215" s="4"/>
      <x:c r="K215" s="4"/>
      <x:c r="L215" s="4"/>
    </x:row>
    <x:row r="216">
      <x:c r="A216" s="4"/>
      <x:c r="B216" s="4"/>
      <x:c r="C216" s="4"/>
      <x:c r="D216" s="4"/>
      <x:c r="E216" s="4"/>
      <x:c r="F216" s="4"/>
      <x:c r="G216" s="4"/>
      <x:c r="H216" s="4"/>
      <x:c r="I216" s="4"/>
      <x:c r="J216" s="4"/>
      <x:c r="K216" s="4"/>
      <x:c r="L216" s="4"/>
    </x:row>
    <x:row r="217">
      <x:c r="A217" s="4"/>
      <x:c r="B217" s="4"/>
      <x:c r="C217" s="4"/>
      <x:c r="D217" s="4"/>
      <x:c r="E217" s="4"/>
      <x:c r="F217" s="4"/>
      <x:c r="G217" s="4"/>
      <x:c r="H217" s="4"/>
      <x:c r="I217" s="4"/>
      <x:c r="J217" s="4"/>
      <x:c r="K217" s="4"/>
      <x:c r="L217" s="4"/>
    </x:row>
    <x:row r="218">
      <x:c r="A218" s="4"/>
      <x:c r="B218" s="4"/>
      <x:c r="C218" s="4"/>
      <x:c r="D218" s="4"/>
      <x:c r="E218" s="4"/>
      <x:c r="F218" s="4"/>
      <x:c r="G218" s="4"/>
      <x:c r="H218" s="4"/>
      <x:c r="I218" s="4"/>
      <x:c r="J218" s="4"/>
      <x:c r="K218" s="4"/>
      <x:c r="L218" s="4"/>
    </x:row>
    <x:row r="219">
      <x:c r="A219" s="4"/>
      <x:c r="B219" s="4"/>
      <x:c r="C219" s="4"/>
      <x:c r="D219" s="4"/>
      <x:c r="E219" s="4"/>
      <x:c r="F219" s="4"/>
      <x:c r="G219" s="4"/>
      <x:c r="H219" s="4"/>
      <x:c r="I219" s="4"/>
      <x:c r="J219" s="4"/>
      <x:c r="K219" s="4"/>
      <x:c r="L219" s="4"/>
    </x:row>
    <x:row r="220">
      <x:c r="A220" s="4"/>
      <x:c r="B220" s="4"/>
      <x:c r="C220" s="4"/>
      <x:c r="D220" s="4"/>
      <x:c r="E220" s="4"/>
      <x:c r="F220" s="4"/>
      <x:c r="G220" s="4"/>
      <x:c r="H220" s="4"/>
      <x:c r="I220" s="4"/>
      <x:c r="J220" s="4"/>
      <x:c r="K220" s="4"/>
      <x:c r="L220" s="4"/>
    </x:row>
    <x:row r="221">
      <x:c r="A221" s="4"/>
      <x:c r="B221" s="4"/>
      <x:c r="C221" s="4"/>
      <x:c r="D221" s="4"/>
      <x:c r="E221" s="4"/>
      <x:c r="F221" s="4"/>
      <x:c r="G221" s="4"/>
      <x:c r="H221" s="4"/>
      <x:c r="I221" s="4"/>
      <x:c r="J221" s="4"/>
      <x:c r="K221" s="4"/>
      <x:c r="L221" s="4"/>
    </x:row>
    <x:row r="222">
      <x:c r="A222" s="4"/>
      <x:c r="B222" s="4"/>
      <x:c r="C222" s="4"/>
      <x:c r="D222" s="4"/>
      <x:c r="E222" s="4"/>
      <x:c r="F222" s="4"/>
      <x:c r="G222" s="4"/>
      <x:c r="H222" s="4"/>
      <x:c r="I222" s="4"/>
      <x:c r="J222" s="4"/>
      <x:c r="K222" s="4"/>
      <x:c r="L222" s="4"/>
    </x:row>
    <x:row r="223">
      <x:c r="A223" s="4"/>
      <x:c r="B223" s="4"/>
      <x:c r="C223" s="4"/>
      <x:c r="D223" s="4"/>
      <x:c r="E223" s="4"/>
      <x:c r="F223" s="4"/>
      <x:c r="G223" s="4"/>
      <x:c r="H223" s="4"/>
      <x:c r="I223" s="4"/>
      <x:c r="J223" s="4"/>
      <x:c r="K223" s="4"/>
      <x:c r="L223" s="4"/>
    </x:row>
    <x:row r="224">
      <x:c r="A224" s="4"/>
      <x:c r="B224" s="4"/>
      <x:c r="C224" s="4"/>
      <x:c r="D224" s="4"/>
      <x:c r="E224" s="4"/>
      <x:c r="F224" s="4"/>
      <x:c r="G224" s="4"/>
      <x:c r="H224" s="4"/>
      <x:c r="I224" s="4"/>
      <x:c r="J224" s="4"/>
      <x:c r="K224" s="4"/>
      <x:c r="L224" s="4"/>
    </x:row>
    <x:row r="225">
      <x:c r="A225" s="4"/>
      <x:c r="B225" s="4"/>
      <x:c r="C225" s="4"/>
      <x:c r="D225" s="4"/>
      <x:c r="E225" s="4"/>
      <x:c r="F225" s="4"/>
      <x:c r="G225" s="4"/>
      <x:c r="H225" s="4"/>
      <x:c r="I225" s="4"/>
      <x:c r="J225" s="4"/>
      <x:c r="K225" s="4"/>
      <x:c r="L225" s="4"/>
    </x:row>
    <x:row r="226">
      <x:c r="A226" s="4"/>
      <x:c r="B226" s="4"/>
      <x:c r="C226" s="4"/>
      <x:c r="D226" s="4"/>
      <x:c r="E226" s="4"/>
      <x:c r="F226" s="4"/>
      <x:c r="G226" s="4"/>
      <x:c r="H226" s="4"/>
      <x:c r="I226" s="4"/>
      <x:c r="J226" s="4"/>
      <x:c r="K226" s="4"/>
      <x:c r="L226" s="4"/>
    </x:row>
    <x:row r="227">
      <x:c r="A227" s="4"/>
      <x:c r="B227" s="4"/>
      <x:c r="C227" s="4"/>
      <x:c r="D227" s="4"/>
      <x:c r="E227" s="4"/>
      <x:c r="F227" s="4"/>
      <x:c r="G227" s="4"/>
      <x:c r="H227" s="4"/>
      <x:c r="I227" s="4"/>
      <x:c r="J227" s="4"/>
      <x:c r="K227" s="4"/>
      <x:c r="L227" s="4"/>
    </x:row>
    <x:row r="228">
      <x:c r="A228" s="4"/>
      <x:c r="B228" s="4"/>
      <x:c r="C228" s="4"/>
      <x:c r="D228" s="4"/>
      <x:c r="E228" s="4"/>
      <x:c r="F228" s="4"/>
      <x:c r="G228" s="4"/>
      <x:c r="H228" s="4"/>
      <x:c r="I228" s="4"/>
      <x:c r="J228" s="4"/>
      <x:c r="K228" s="4"/>
      <x:c r="L228" s="4"/>
    </x:row>
    <x:row r="229">
      <x:c r="A229" s="4"/>
      <x:c r="B229" s="4"/>
      <x:c r="C229" s="4"/>
      <x:c r="D229" s="4"/>
      <x:c r="E229" s="4"/>
      <x:c r="F229" s="4"/>
      <x:c r="G229" s="4"/>
      <x:c r="H229" s="4"/>
      <x:c r="I229" s="4"/>
      <x:c r="J229" s="4"/>
      <x:c r="K229" s="4"/>
      <x:c r="L229" s="4"/>
    </x:row>
    <x:row r="230">
      <x:c r="A230" s="4"/>
      <x:c r="B230" s="4"/>
      <x:c r="C230" s="4"/>
      <x:c r="D230" s="4"/>
      <x:c r="E230" s="4"/>
      <x:c r="F230" s="4"/>
      <x:c r="G230" s="4"/>
      <x:c r="H230" s="4"/>
      <x:c r="I230" s="4"/>
      <x:c r="J230" s="4"/>
      <x:c r="K230" s="4"/>
      <x:c r="L230" s="4"/>
    </x:row>
    <x:row r="231">
      <x:c r="A231" s="4"/>
      <x:c r="B231" s="4"/>
      <x:c r="C231" s="4"/>
      <x:c r="D231" s="4"/>
      <x:c r="E231" s="4"/>
      <x:c r="F231" s="4"/>
      <x:c r="G231" s="4"/>
      <x:c r="H231" s="4"/>
      <x:c r="I231" s="4"/>
      <x:c r="J231" s="4"/>
      <x:c r="K231" s="4"/>
      <x:c r="L231" s="4"/>
    </x:row>
    <x:row r="232">
      <x:c r="A232" s="4"/>
      <x:c r="B232" s="4"/>
      <x:c r="C232" s="4"/>
      <x:c r="D232" s="4"/>
      <x:c r="E232" s="4"/>
      <x:c r="F232" s="4"/>
      <x:c r="G232" s="4"/>
      <x:c r="H232" s="4"/>
      <x:c r="I232" s="4"/>
      <x:c r="J232" s="4"/>
      <x:c r="K232" s="4"/>
      <x:c r="L232" s="4"/>
    </x:row>
    <x:row r="233">
      <x:c r="A233" s="4"/>
      <x:c r="B233" s="4"/>
      <x:c r="C233" s="4"/>
      <x:c r="D233" s="4"/>
      <x:c r="E233" s="4"/>
      <x:c r="F233" s="4"/>
      <x:c r="G233" s="4"/>
      <x:c r="H233" s="4"/>
      <x:c r="I233" s="4"/>
      <x:c r="J233" s="4"/>
      <x:c r="K233" s="4"/>
      <x:c r="L233" s="4"/>
    </x:row>
    <x:row r="234">
      <x:c r="A234" s="4"/>
      <x:c r="B234" s="4"/>
      <x:c r="C234" s="4"/>
      <x:c r="D234" s="4"/>
      <x:c r="E234" s="4"/>
      <x:c r="F234" s="4"/>
      <x:c r="G234" s="4"/>
      <x:c r="H234" s="4"/>
      <x:c r="I234" s="4"/>
      <x:c r="J234" s="4"/>
      <x:c r="K234" s="4"/>
      <x:c r="L234" s="4"/>
    </x:row>
    <x:row r="235">
      <x:c r="A235" s="4"/>
      <x:c r="B235" s="4"/>
      <x:c r="C235" s="4"/>
      <x:c r="D235" s="4"/>
      <x:c r="E235" s="4"/>
      <x:c r="F235" s="4"/>
      <x:c r="G235" s="4"/>
      <x:c r="H235" s="4"/>
      <x:c r="I235" s="4"/>
      <x:c r="J235" s="4"/>
      <x:c r="K235" s="4"/>
      <x:c r="L235" s="4"/>
    </x:row>
    <x:row r="236">
      <x:c r="A236" s="4"/>
      <x:c r="B236" s="4"/>
      <x:c r="C236" s="4"/>
      <x:c r="D236" s="4"/>
      <x:c r="E236" s="4"/>
      <x:c r="F236" s="4"/>
      <x:c r="G236" s="4"/>
      <x:c r="H236" s="4"/>
      <x:c r="I236" s="4"/>
      <x:c r="J236" s="4"/>
      <x:c r="K236" s="4"/>
      <x:c r="L236" s="4"/>
    </x:row>
    <x:row r="237">
      <x:c r="A237" s="4"/>
      <x:c r="B237" s="4"/>
      <x:c r="C237" s="4"/>
      <x:c r="D237" s="4"/>
      <x:c r="E237" s="4"/>
      <x:c r="F237" s="4"/>
      <x:c r="G237" s="4"/>
      <x:c r="H237" s="4"/>
      <x:c r="I237" s="4"/>
      <x:c r="J237" s="4"/>
      <x:c r="K237" s="4"/>
      <x:c r="L237" s="4"/>
    </x:row>
    <x:row r="238">
      <x:c r="A238" s="4"/>
      <x:c r="B238" s="4"/>
      <x:c r="C238" s="4"/>
      <x:c r="D238" s="4"/>
      <x:c r="E238" s="4"/>
      <x:c r="F238" s="4"/>
      <x:c r="G238" s="4"/>
      <x:c r="H238" s="4"/>
      <x:c r="I238" s="4"/>
      <x:c r="J238" s="4"/>
      <x:c r="K238" s="4"/>
      <x:c r="L238" s="4"/>
    </x:row>
    <x:row r="239">
      <x:c r="A239" s="4"/>
      <x:c r="B239" s="4"/>
      <x:c r="C239" s="4"/>
      <x:c r="D239" s="4"/>
      <x:c r="E239" s="4"/>
      <x:c r="F239" s="4"/>
      <x:c r="G239" s="4"/>
      <x:c r="H239" s="4"/>
      <x:c r="I239" s="4"/>
      <x:c r="J239" s="4"/>
      <x:c r="K239" s="4"/>
      <x:c r="L239" s="4"/>
    </x:row>
    <x:row r="240">
      <x:c r="A240" s="4"/>
      <x:c r="B240" s="4"/>
      <x:c r="C240" s="4"/>
      <x:c r="D240" s="4"/>
      <x:c r="E240" s="4"/>
      <x:c r="F240" s="4"/>
      <x:c r="G240" s="4"/>
      <x:c r="H240" s="4"/>
      <x:c r="I240" s="4"/>
      <x:c r="J240" s="4"/>
      <x:c r="K240" s="4"/>
      <x:c r="L240" s="4"/>
    </x:row>
    <x:row r="241">
      <x:c r="A241" s="4"/>
      <x:c r="B241" s="4"/>
      <x:c r="C241" s="4"/>
      <x:c r="D241" s="4"/>
      <x:c r="E241" s="4"/>
      <x:c r="F241" s="4"/>
      <x:c r="G241" s="4"/>
      <x:c r="H241" s="4"/>
      <x:c r="I241" s="4"/>
      <x:c r="J241" s="4"/>
      <x:c r="K241" s="4"/>
      <x:c r="L241" s="4"/>
    </x:row>
    <x:row r="242">
      <x:c r="A242" s="4"/>
      <x:c r="B242" s="4"/>
      <x:c r="C242" s="4"/>
      <x:c r="D242" s="4"/>
      <x:c r="E242" s="4"/>
      <x:c r="F242" s="4"/>
      <x:c r="G242" s="4"/>
      <x:c r="H242" s="4"/>
      <x:c r="I242" s="4"/>
      <x:c r="J242" s="4"/>
      <x:c r="K242" s="4"/>
      <x:c r="L242" s="4"/>
    </x:row>
    <x:row r="243">
      <x:c r="A243" s="4"/>
      <x:c r="B243" s="4"/>
      <x:c r="C243" s="4"/>
      <x:c r="D243" s="4"/>
      <x:c r="E243" s="4"/>
      <x:c r="F243" s="4"/>
      <x:c r="G243" s="4"/>
      <x:c r="H243" s="4"/>
      <x:c r="I243" s="4"/>
      <x:c r="J243" s="4"/>
      <x:c r="K243" s="4"/>
      <x:c r="L243" s="4"/>
    </x:row>
    <x:row r="244">
      <x:c r="A244" s="4"/>
      <x:c r="B244" s="4"/>
      <x:c r="C244" s="4"/>
      <x:c r="D244" s="4"/>
      <x:c r="E244" s="4"/>
      <x:c r="F244" s="4"/>
      <x:c r="G244" s="4"/>
      <x:c r="H244" s="4"/>
      <x:c r="I244" s="4"/>
      <x:c r="J244" s="4"/>
      <x:c r="K244" s="4"/>
      <x:c r="L244" s="4"/>
    </x:row>
    <x:row r="245">
      <x:c r="A245" s="4"/>
      <x:c r="B245" s="4"/>
      <x:c r="C245" s="4"/>
      <x:c r="D245" s="4"/>
      <x:c r="E245" s="4"/>
      <x:c r="F245" s="4"/>
      <x:c r="G245" s="4"/>
      <x:c r="H245" s="4"/>
      <x:c r="I245" s="4"/>
      <x:c r="J245" s="4"/>
      <x:c r="K245" s="4"/>
      <x:c r="L245" s="4"/>
    </x:row>
    <x:row r="246">
      <x:c r="A246" s="4"/>
      <x:c r="B246" s="4"/>
      <x:c r="C246" s="4"/>
      <x:c r="D246" s="4"/>
      <x:c r="E246" s="4"/>
      <x:c r="F246" s="4"/>
      <x:c r="G246" s="4"/>
      <x:c r="H246" s="4"/>
      <x:c r="I246" s="4"/>
      <x:c r="J246" s="4"/>
      <x:c r="K246" s="4"/>
      <x:c r="L246" s="4"/>
    </x:row>
    <x:row r="247">
      <x:c r="A247" s="4"/>
      <x:c r="B247" s="4"/>
      <x:c r="C247" s="4"/>
      <x:c r="D247" s="4"/>
      <x:c r="E247" s="4"/>
      <x:c r="F247" s="4"/>
      <x:c r="G247" s="4"/>
      <x:c r="H247" s="4"/>
      <x:c r="I247" s="4"/>
      <x:c r="J247" s="4"/>
      <x:c r="K247" s="4"/>
      <x:c r="L247" s="4"/>
    </x:row>
    <x:row r="248">
      <x:c r="A248" s="4"/>
      <x:c r="B248" s="4"/>
      <x:c r="C248" s="4"/>
      <x:c r="D248" s="4"/>
      <x:c r="E248" s="4"/>
      <x:c r="F248" s="4"/>
      <x:c r="G248" s="4"/>
      <x:c r="H248" s="4"/>
      <x:c r="I248" s="4"/>
      <x:c r="J248" s="4"/>
      <x:c r="K248" s="4"/>
      <x:c r="L248" s="4"/>
    </x:row>
    <x:row r="249">
      <x:c r="A249" s="4"/>
      <x:c r="B249" s="4"/>
      <x:c r="C249" s="4"/>
      <x:c r="D249" s="4"/>
      <x:c r="E249" s="4"/>
      <x:c r="F249" s="4"/>
      <x:c r="G249" s="4"/>
      <x:c r="H249" s="4"/>
      <x:c r="I249" s="4"/>
      <x:c r="J249" s="4"/>
      <x:c r="K249" s="4"/>
      <x:c r="L249" s="4"/>
    </x:row>
    <x:row r="250">
      <x:c r="A250" s="4"/>
      <x:c r="B250" s="4"/>
      <x:c r="C250" s="4"/>
      <x:c r="D250" s="4"/>
      <x:c r="E250" s="4"/>
      <x:c r="F250" s="4"/>
      <x:c r="G250" s="4"/>
      <x:c r="H250" s="4"/>
      <x:c r="I250" s="4"/>
      <x:c r="J250" s="4"/>
      <x:c r="K250" s="4"/>
      <x:c r="L250" s="4"/>
    </x:row>
    <x:row r="251">
      <x:c r="A251" s="4"/>
      <x:c r="B251" s="4"/>
      <x:c r="C251" s="4"/>
      <x:c r="D251" s="4"/>
      <x:c r="E251" s="4"/>
      <x:c r="F251" s="4"/>
      <x:c r="G251" s="4"/>
      <x:c r="H251" s="4"/>
      <x:c r="I251" s="4"/>
      <x:c r="J251" s="4"/>
      <x:c r="K251" s="4"/>
      <x:c r="L251" s="4"/>
    </x:row>
    <x:row r="252">
      <x:c r="A252" s="4"/>
      <x:c r="B252" s="4"/>
      <x:c r="C252" s="4"/>
      <x:c r="D252" s="4"/>
      <x:c r="E252" s="4"/>
      <x:c r="F252" s="4"/>
      <x:c r="G252" s="4"/>
      <x:c r="H252" s="4"/>
      <x:c r="I252" s="4"/>
      <x:c r="J252" s="4"/>
      <x:c r="K252" s="4"/>
      <x:c r="L252" s="4"/>
    </x:row>
    <x:row r="253">
      <x:c r="A253" s="4"/>
      <x:c r="B253" s="4"/>
      <x:c r="C253" s="4"/>
      <x:c r="D253" s="4"/>
      <x:c r="E253" s="4"/>
      <x:c r="F253" s="4"/>
      <x:c r="G253" s="4"/>
      <x:c r="H253" s="4"/>
      <x:c r="I253" s="4"/>
      <x:c r="J253" s="4"/>
      <x:c r="K253" s="4"/>
      <x:c r="L253" s="4"/>
    </x:row>
    <x:row r="254">
      <x:c r="A254" s="4"/>
      <x:c r="B254" s="4"/>
      <x:c r="C254" s="4"/>
      <x:c r="D254" s="4"/>
      <x:c r="E254" s="4"/>
      <x:c r="F254" s="4"/>
      <x:c r="G254" s="4"/>
      <x:c r="H254" s="4"/>
      <x:c r="I254" s="4"/>
      <x:c r="J254" s="4"/>
      <x:c r="K254" s="4"/>
      <x:c r="L254" s="4"/>
    </x:row>
    <x:row r="255">
      <x:c r="A255" s="4"/>
      <x:c r="B255" s="4"/>
      <x:c r="C255" s="4"/>
      <x:c r="D255" s="4"/>
      <x:c r="E255" s="4"/>
      <x:c r="F255" s="4"/>
      <x:c r="G255" s="4"/>
      <x:c r="H255" s="4"/>
      <x:c r="I255" s="4"/>
      <x:c r="J255" s="4"/>
      <x:c r="K255" s="4"/>
      <x:c r="L255" s="4"/>
    </x:row>
    <x:row r="256">
      <x:c r="A256" s="4"/>
      <x:c r="B256" s="4"/>
      <x:c r="C256" s="4"/>
      <x:c r="D256" s="4"/>
      <x:c r="E256" s="4"/>
      <x:c r="F256" s="4"/>
      <x:c r="G256" s="4"/>
      <x:c r="H256" s="4"/>
      <x:c r="I256" s="4"/>
      <x:c r="J256" s="4"/>
      <x:c r="K256" s="4"/>
      <x:c r="L256" s="4"/>
    </x:row>
    <x:row r="257">
      <x:c r="A257" s="4"/>
      <x:c r="B257" s="4"/>
      <x:c r="C257" s="4"/>
      <x:c r="D257" s="4"/>
      <x:c r="E257" s="4"/>
      <x:c r="F257" s="4"/>
      <x:c r="G257" s="4"/>
      <x:c r="H257" s="4"/>
      <x:c r="I257" s="4"/>
      <x:c r="J257" s="4"/>
      <x:c r="K257" s="4"/>
      <x:c r="L257" s="4"/>
    </x:row>
    <x:row r="258">
      <x:c r="A258" s="4"/>
      <x:c r="B258" s="4"/>
      <x:c r="C258" s="4"/>
      <x:c r="D258" s="4"/>
      <x:c r="E258" s="4"/>
      <x:c r="F258" s="4"/>
      <x:c r="G258" s="4"/>
      <x:c r="H258" s="4"/>
      <x:c r="I258" s="4"/>
      <x:c r="J258" s="4"/>
      <x:c r="K258" s="4"/>
      <x:c r="L258" s="4"/>
    </x:row>
    <x:row r="259">
      <x:c r="A259" s="4"/>
      <x:c r="B259" s="4"/>
      <x:c r="C259" s="4"/>
      <x:c r="D259" s="4"/>
      <x:c r="E259" s="4"/>
      <x:c r="F259" s="4"/>
      <x:c r="G259" s="4"/>
      <x:c r="H259" s="4"/>
      <x:c r="I259" s="4"/>
      <x:c r="J259" s="4"/>
      <x:c r="K259" s="4"/>
      <x:c r="L259" s="4"/>
    </x:row>
    <x:row r="260">
      <x:c r="A260" s="4"/>
      <x:c r="B260" s="4"/>
      <x:c r="C260" s="4"/>
      <x:c r="D260" s="4"/>
      <x:c r="E260" s="4"/>
      <x:c r="F260" s="4"/>
      <x:c r="G260" s="4"/>
      <x:c r="H260" s="4"/>
      <x:c r="I260" s="4"/>
      <x:c r="J260" s="4"/>
      <x:c r="K260" s="4"/>
      <x:c r="L260" s="4"/>
    </x:row>
    <x:row r="261">
      <x:c r="A261" s="4"/>
      <x:c r="B261" s="4"/>
      <x:c r="C261" s="4"/>
      <x:c r="D261" s="4"/>
      <x:c r="E261" s="4"/>
      <x:c r="F261" s="4"/>
      <x:c r="G261" s="4"/>
      <x:c r="H261" s="4"/>
      <x:c r="I261" s="4"/>
      <x:c r="J261" s="4"/>
      <x:c r="K261" s="4"/>
      <x:c r="L261" s="4"/>
    </x:row>
    <x:row r="262">
      <x:c r="A262" s="4"/>
      <x:c r="B262" s="4"/>
      <x:c r="C262" s="4"/>
      <x:c r="D262" s="4"/>
      <x:c r="E262" s="4"/>
      <x:c r="F262" s="4"/>
      <x:c r="G262" s="4"/>
      <x:c r="H262" s="4"/>
      <x:c r="I262" s="4"/>
      <x:c r="J262" s="4"/>
      <x:c r="K262" s="4"/>
      <x:c r="L262" s="4"/>
    </x:row>
    <x:row r="263">
      <x:c r="A263" s="4"/>
      <x:c r="B263" s="4"/>
      <x:c r="C263" s="4"/>
      <x:c r="D263" s="4"/>
      <x:c r="E263" s="4"/>
      <x:c r="F263" s="4"/>
      <x:c r="G263" s="4"/>
      <x:c r="H263" s="4"/>
      <x:c r="I263" s="4"/>
      <x:c r="J263" s="4"/>
      <x:c r="K263" s="4"/>
      <x:c r="L263" s="4"/>
    </x:row>
    <x:row r="264">
      <x:c r="A264" s="4"/>
      <x:c r="B264" s="4"/>
      <x:c r="C264" s="4"/>
      <x:c r="D264" s="4"/>
      <x:c r="E264" s="4"/>
      <x:c r="F264" s="4"/>
      <x:c r="G264" s="4"/>
      <x:c r="H264" s="4"/>
      <x:c r="I264" s="4"/>
      <x:c r="J264" s="4"/>
      <x:c r="K264" s="4"/>
      <x:c r="L264" s="4"/>
    </x:row>
    <x:row r="265">
      <x:c r="A265" s="4"/>
      <x:c r="B265" s="4"/>
      <x:c r="C265" s="4"/>
      <x:c r="D265" s="4"/>
      <x:c r="E265" s="4"/>
      <x:c r="F265" s="4"/>
      <x:c r="G265" s="4"/>
      <x:c r="H265" s="4"/>
      <x:c r="I265" s="4"/>
      <x:c r="J265" s="4"/>
      <x:c r="K265" s="4"/>
      <x:c r="L265" s="4"/>
    </x:row>
    <x:row r="266">
      <x:c r="A266" s="4"/>
      <x:c r="B266" s="4"/>
      <x:c r="C266" s="4"/>
      <x:c r="D266" s="4"/>
      <x:c r="E266" s="4"/>
      <x:c r="F266" s="4"/>
      <x:c r="G266" s="4"/>
      <x:c r="H266" s="4"/>
      <x:c r="I266" s="4"/>
      <x:c r="J266" s="4"/>
      <x:c r="K266" s="4"/>
      <x:c r="L266" s="4"/>
    </x:row>
    <x:row r="267">
      <x:c r="A267" s="4"/>
      <x:c r="B267" s="4"/>
      <x:c r="C267" s="4"/>
      <x:c r="D267" s="4"/>
      <x:c r="E267" s="4"/>
      <x:c r="F267" s="4"/>
      <x:c r="G267" s="4"/>
      <x:c r="H267" s="4"/>
      <x:c r="I267" s="4"/>
      <x:c r="J267" s="4"/>
      <x:c r="K267" s="4"/>
      <x:c r="L267" s="4"/>
    </x:row>
    <x:row r="268">
      <x:c r="A268" s="4"/>
      <x:c r="B268" s="4"/>
      <x:c r="C268" s="4"/>
      <x:c r="D268" s="4"/>
      <x:c r="E268" s="4"/>
      <x:c r="F268" s="4"/>
      <x:c r="G268" s="4"/>
      <x:c r="H268" s="4"/>
      <x:c r="I268" s="4"/>
      <x:c r="J268" s="4"/>
      <x:c r="K268" s="4"/>
      <x:c r="L268" s="4"/>
    </x:row>
    <x:row r="269">
      <x:c r="A269" s="4"/>
      <x:c r="B269" s="4"/>
      <x:c r="C269" s="4"/>
      <x:c r="D269" s="4"/>
      <x:c r="E269" s="4"/>
      <x:c r="F269" s="4"/>
      <x:c r="G269" s="4"/>
      <x:c r="H269" s="4"/>
      <x:c r="I269" s="4"/>
      <x:c r="J269" s="4"/>
      <x:c r="K269" s="4"/>
      <x:c r="L269" s="4"/>
    </x:row>
    <x:row r="270">
      <x:c r="A270" s="4"/>
      <x:c r="B270" s="4"/>
      <x:c r="C270" s="4"/>
      <x:c r="D270" s="4"/>
      <x:c r="E270" s="4"/>
      <x:c r="F270" s="4"/>
      <x:c r="G270" s="4"/>
      <x:c r="H270" s="4"/>
      <x:c r="I270" s="4"/>
      <x:c r="J270" s="4"/>
      <x:c r="K270" s="4"/>
      <x:c r="L270" s="4"/>
    </x:row>
    <x:row r="271">
      <x:c r="A271" s="4"/>
      <x:c r="B271" s="4"/>
      <x:c r="C271" s="4"/>
      <x:c r="D271" s="4"/>
      <x:c r="E271" s="4"/>
      <x:c r="F271" s="4"/>
      <x:c r="G271" s="4"/>
      <x:c r="H271" s="4"/>
      <x:c r="I271" s="4"/>
      <x:c r="J271" s="4"/>
      <x:c r="K271" s="4"/>
      <x:c r="L271" s="4"/>
    </x:row>
    <x:row r="272">
      <x:c r="A272" s="4"/>
      <x:c r="B272" s="4"/>
      <x:c r="C272" s="4"/>
      <x:c r="D272" s="4"/>
      <x:c r="E272" s="4"/>
      <x:c r="F272" s="4"/>
      <x:c r="G272" s="4"/>
      <x:c r="H272" s="4"/>
      <x:c r="I272" s="4"/>
      <x:c r="J272" s="4"/>
      <x:c r="K272" s="4"/>
      <x:c r="L272" s="4"/>
    </x:row>
    <x:row r="273">
      <x:c r="A273" s="4"/>
      <x:c r="B273" s="4"/>
      <x:c r="C273" s="4"/>
      <x:c r="D273" s="4"/>
      <x:c r="E273" s="4"/>
      <x:c r="F273" s="4"/>
      <x:c r="G273" s="4"/>
      <x:c r="H273" s="4"/>
      <x:c r="I273" s="4"/>
      <x:c r="J273" s="4"/>
      <x:c r="K273" s="4"/>
      <x:c r="L273" s="4"/>
    </x:row>
    <x:row r="274">
      <x:c r="A274" s="4"/>
      <x:c r="B274" s="4"/>
      <x:c r="C274" s="4"/>
      <x:c r="D274" s="4"/>
      <x:c r="E274" s="4"/>
      <x:c r="F274" s="4"/>
      <x:c r="G274" s="4"/>
      <x:c r="H274" s="4"/>
      <x:c r="I274" s="4"/>
      <x:c r="J274" s="4"/>
      <x:c r="K274" s="4"/>
      <x:c r="L274" s="4"/>
    </x:row>
    <x:row r="275">
      <x:c r="A275" s="4"/>
      <x:c r="B275" s="4"/>
      <x:c r="C275" s="4"/>
      <x:c r="D275" s="4"/>
      <x:c r="E275" s="4"/>
      <x:c r="F275" s="4"/>
      <x:c r="G275" s="4"/>
      <x:c r="H275" s="4"/>
      <x:c r="I275" s="4"/>
      <x:c r="J275" s="4"/>
      <x:c r="K275" s="4"/>
      <x:c r="L275" s="4"/>
    </x:row>
    <x:row r="276">
      <x:c r="A276" s="4"/>
      <x:c r="B276" s="4"/>
      <x:c r="C276" s="4"/>
      <x:c r="D276" s="4"/>
      <x:c r="E276" s="4"/>
      <x:c r="F276" s="4"/>
      <x:c r="G276" s="4"/>
      <x:c r="H276" s="4"/>
      <x:c r="I276" s="4"/>
      <x:c r="J276" s="4"/>
      <x:c r="K276" s="4"/>
      <x:c r="L276" s="4"/>
    </x:row>
    <x:row r="277">
      <x:c r="A277" s="4"/>
      <x:c r="B277" s="4"/>
      <x:c r="C277" s="4"/>
      <x:c r="D277" s="4"/>
      <x:c r="E277" s="4"/>
      <x:c r="F277" s="4"/>
      <x:c r="G277" s="4"/>
      <x:c r="H277" s="4"/>
      <x:c r="I277" s="4"/>
      <x:c r="J277" s="4"/>
      <x:c r="K277" s="4"/>
      <x:c r="L277" s="4"/>
    </x:row>
    <x:row r="278">
      <x:c r="A278" s="4"/>
      <x:c r="B278" s="4"/>
      <x:c r="C278" s="4"/>
      <x:c r="D278" s="4"/>
      <x:c r="E278" s="4"/>
      <x:c r="F278" s="4"/>
      <x:c r="G278" s="4"/>
      <x:c r="H278" s="4"/>
      <x:c r="I278" s="4"/>
      <x:c r="J278" s="4"/>
      <x:c r="K278" s="4"/>
      <x:c r="L278" s="4"/>
    </x:row>
    <x:row r="279">
      <x:c r="A279" s="4"/>
      <x:c r="B279" s="4"/>
      <x:c r="C279" s="4"/>
      <x:c r="D279" s="4"/>
      <x:c r="E279" s="4"/>
      <x:c r="F279" s="4"/>
      <x:c r="G279" s="4"/>
      <x:c r="H279" s="4"/>
      <x:c r="I279" s="4"/>
      <x:c r="J279" s="4"/>
      <x:c r="K279" s="4"/>
      <x:c r="L279" s="4"/>
    </x:row>
    <x:row r="280">
      <x:c r="A280" s="4"/>
      <x:c r="B280" s="4"/>
      <x:c r="C280" s="4"/>
      <x:c r="D280" s="4"/>
      <x:c r="E280" s="4"/>
      <x:c r="F280" s="4"/>
      <x:c r="G280" s="4"/>
      <x:c r="H280" s="4"/>
      <x:c r="I280" s="4"/>
      <x:c r="J280" s="4"/>
      <x:c r="K280" s="4"/>
      <x:c r="L280" s="4"/>
    </x:row>
    <x:row r="281">
      <x:c r="A281" s="4"/>
      <x:c r="B281" s="4"/>
      <x:c r="C281" s="4"/>
      <x:c r="D281" s="4"/>
      <x:c r="E281" s="4"/>
      <x:c r="F281" s="4"/>
      <x:c r="G281" s="4"/>
      <x:c r="H281" s="4"/>
      <x:c r="I281" s="4"/>
      <x:c r="J281" s="4"/>
      <x:c r="K281" s="4"/>
      <x:c r="L281" s="4"/>
    </x:row>
    <x:row r="282">
      <x:c r="A282" s="4"/>
      <x:c r="B282" s="4"/>
      <x:c r="C282" s="4"/>
      <x:c r="D282" s="4"/>
      <x:c r="E282" s="4"/>
      <x:c r="F282" s="4"/>
      <x:c r="G282" s="4"/>
      <x:c r="H282" s="4"/>
      <x:c r="I282" s="4"/>
      <x:c r="J282" s="4"/>
      <x:c r="K282" s="4"/>
      <x:c r="L282" s="4"/>
    </x:row>
    <x:row r="283">
      <x:c r="A283" s="4"/>
      <x:c r="B283" s="4"/>
      <x:c r="C283" s="4"/>
      <x:c r="D283" s="4"/>
      <x:c r="E283" s="4"/>
      <x:c r="F283" s="4"/>
      <x:c r="G283" s="4"/>
      <x:c r="H283" s="4"/>
      <x:c r="I283" s="4"/>
      <x:c r="J283" s="4"/>
      <x:c r="K283" s="4"/>
      <x:c r="L283" s="4"/>
    </x:row>
    <x:row r="284">
      <x:c r="A284" s="4"/>
      <x:c r="B284" s="4"/>
      <x:c r="C284" s="4"/>
      <x:c r="D284" s="4"/>
      <x:c r="E284" s="4"/>
      <x:c r="F284" s="4"/>
      <x:c r="G284" s="4"/>
      <x:c r="H284" s="4"/>
      <x:c r="I284" s="4"/>
      <x:c r="J284" s="4"/>
      <x:c r="K284" s="4"/>
      <x:c r="L284" s="4"/>
    </x:row>
    <x:row r="285">
      <x:c r="A285" s="4"/>
      <x:c r="B285" s="4"/>
      <x:c r="C285" s="4"/>
      <x:c r="D285" s="4"/>
      <x:c r="E285" s="4"/>
      <x:c r="F285" s="4"/>
      <x:c r="G285" s="4"/>
      <x:c r="H285" s="4"/>
      <x:c r="I285" s="4"/>
      <x:c r="J285" s="4"/>
      <x:c r="K285" s="4"/>
      <x:c r="L285" s="4"/>
    </x:row>
    <x:row r="286">
      <x:c r="A286" s="4"/>
      <x:c r="B286" s="4"/>
      <x:c r="C286" s="4"/>
      <x:c r="D286" s="4"/>
      <x:c r="E286" s="4"/>
      <x:c r="F286" s="4"/>
      <x:c r="G286" s="4"/>
      <x:c r="H286" s="4"/>
      <x:c r="I286" s="4"/>
      <x:c r="J286" s="4"/>
      <x:c r="K286" s="4"/>
      <x:c r="L286" s="4"/>
    </x:row>
    <x:row r="287">
      <x:c r="A287" s="4"/>
      <x:c r="B287" s="4"/>
      <x:c r="C287" s="4"/>
      <x:c r="D287" s="4"/>
      <x:c r="E287" s="4"/>
      <x:c r="F287" s="4"/>
      <x:c r="G287" s="4"/>
      <x:c r="H287" s="4"/>
      <x:c r="I287" s="4"/>
      <x:c r="J287" s="4"/>
      <x:c r="K287" s="4"/>
      <x:c r="L287" s="4"/>
    </x:row>
    <x:row r="288">
      <x:c r="A288" s="4"/>
      <x:c r="B288" s="4"/>
      <x:c r="C288" s="4"/>
      <x:c r="D288" s="4"/>
      <x:c r="E288" s="4"/>
      <x:c r="F288" s="4"/>
      <x:c r="G288" s="4"/>
      <x:c r="H288" s="4"/>
      <x:c r="I288" s="4"/>
      <x:c r="J288" s="4"/>
      <x:c r="K288" s="4"/>
      <x:c r="L288" s="4"/>
    </x:row>
    <x:row r="289">
      <x:c r="A289" s="4"/>
      <x:c r="B289" s="4"/>
      <x:c r="C289" s="4"/>
      <x:c r="D289" s="4"/>
      <x:c r="E289" s="4"/>
      <x:c r="F289" s="4"/>
      <x:c r="G289" s="4"/>
      <x:c r="H289" s="4"/>
      <x:c r="I289" s="4"/>
      <x:c r="J289" s="4"/>
      <x:c r="K289" s="4"/>
      <x:c r="L289" s="4"/>
    </x:row>
    <x:row r="290">
      <x:c r="A290" s="4"/>
      <x:c r="B290" s="4"/>
      <x:c r="C290" s="4"/>
      <x:c r="D290" s="4"/>
      <x:c r="E290" s="4"/>
      <x:c r="F290" s="4"/>
      <x:c r="G290" s="4"/>
      <x:c r="H290" s="4"/>
      <x:c r="I290" s="4"/>
      <x:c r="J290" s="4"/>
      <x:c r="K290" s="4"/>
      <x:c r="L290" s="4"/>
    </x:row>
    <x:row r="291">
      <x:c r="A291" s="4"/>
      <x:c r="B291" s="4"/>
      <x:c r="C291" s="4"/>
      <x:c r="D291" s="4"/>
      <x:c r="E291" s="4"/>
      <x:c r="F291" s="4"/>
      <x:c r="G291" s="4"/>
      <x:c r="H291" s="4"/>
      <x:c r="I291" s="4"/>
      <x:c r="J291" s="4"/>
      <x:c r="K291" s="4"/>
      <x:c r="L291" s="4"/>
    </x:row>
    <x:row r="292">
      <x:c r="A292" s="4"/>
      <x:c r="B292" s="4"/>
      <x:c r="C292" s="4"/>
      <x:c r="D292" s="4"/>
      <x:c r="E292" s="4"/>
      <x:c r="F292" s="4"/>
      <x:c r="G292" s="4"/>
      <x:c r="H292" s="4"/>
      <x:c r="I292" s="4"/>
      <x:c r="J292" s="4"/>
      <x:c r="K292" s="4"/>
      <x:c r="L292" s="4"/>
    </x:row>
    <x:row r="293">
      <x:c r="A293" s="4"/>
      <x:c r="B293" s="4"/>
      <x:c r="C293" s="4"/>
      <x:c r="D293" s="4"/>
      <x:c r="E293" s="4"/>
      <x:c r="F293" s="4"/>
      <x:c r="G293" s="4"/>
      <x:c r="H293" s="4"/>
      <x:c r="I293" s="4"/>
      <x:c r="J293" s="4"/>
      <x:c r="K293" s="4"/>
      <x:c r="L293" s="4"/>
    </x:row>
    <x:row r="294">
      <x:c r="A294" s="4"/>
      <x:c r="B294" s="4"/>
      <x:c r="C294" s="4"/>
      <x:c r="D294" s="4"/>
      <x:c r="E294" s="4"/>
      <x:c r="F294" s="4"/>
      <x:c r="G294" s="4"/>
      <x:c r="H294" s="4"/>
      <x:c r="I294" s="4"/>
      <x:c r="J294" s="4"/>
      <x:c r="K294" s="4"/>
      <x:c r="L294" s="4"/>
    </x:row>
    <x:row r="295">
      <x:c r="A295" s="4"/>
      <x:c r="B295" s="4"/>
      <x:c r="C295" s="4"/>
      <x:c r="D295" s="4"/>
      <x:c r="E295" s="4"/>
      <x:c r="F295" s="4"/>
      <x:c r="G295" s="4"/>
      <x:c r="H295" s="4"/>
      <x:c r="I295" s="4"/>
      <x:c r="J295" s="4"/>
      <x:c r="K295" s="4"/>
      <x:c r="L295" s="4"/>
    </x:row>
    <x:row r="296">
      <x:c r="A296" s="4"/>
      <x:c r="B296" s="4"/>
      <x:c r="C296" s="4"/>
      <x:c r="D296" s="4"/>
      <x:c r="E296" s="4"/>
      <x:c r="F296" s="4"/>
      <x:c r="G296" s="4"/>
      <x:c r="H296" s="4"/>
      <x:c r="I296" s="4"/>
      <x:c r="J296" s="4"/>
      <x:c r="K296" s="4"/>
      <x:c r="L296" s="4"/>
    </x:row>
    <x:row r="297">
      <x:c r="A297" s="4"/>
      <x:c r="B297" s="4"/>
      <x:c r="C297" s="4"/>
      <x:c r="D297" s="4"/>
      <x:c r="E297" s="4"/>
      <x:c r="F297" s="4"/>
      <x:c r="G297" s="4"/>
      <x:c r="H297" s="4"/>
      <x:c r="I297" s="4"/>
      <x:c r="J297" s="4"/>
      <x:c r="K297" s="4"/>
      <x:c r="L297" s="4"/>
    </x:row>
    <x:row r="298">
      <x:c r="A298" s="4"/>
      <x:c r="B298" s="4"/>
      <x:c r="C298" s="4"/>
      <x:c r="D298" s="4"/>
      <x:c r="E298" s="4"/>
      <x:c r="F298" s="4"/>
      <x:c r="G298" s="4"/>
      <x:c r="H298" s="4"/>
      <x:c r="I298" s="4"/>
      <x:c r="J298" s="4"/>
      <x:c r="K298" s="4"/>
      <x:c r="L298" s="4"/>
    </x:row>
    <x:row r="299">
      <x:c r="A299" s="4"/>
      <x:c r="B299" s="4"/>
      <x:c r="C299" s="4"/>
      <x:c r="D299" s="4"/>
      <x:c r="E299" s="4"/>
      <x:c r="F299" s="4"/>
      <x:c r="G299" s="4"/>
      <x:c r="H299" s="4"/>
      <x:c r="I299" s="4"/>
      <x:c r="J299" s="4"/>
      <x:c r="K299" s="4"/>
      <x:c r="L299" s="4"/>
    </x:row>
    <x:row r="300">
      <x:c r="A300" s="4"/>
      <x:c r="B300" s="4"/>
      <x:c r="C300" s="4"/>
      <x:c r="D300" s="4"/>
      <x:c r="E300" s="4"/>
      <x:c r="F300" s="4"/>
      <x:c r="G300" s="4"/>
      <x:c r="H300" s="4"/>
      <x:c r="I300" s="4"/>
      <x:c r="J300" s="4"/>
      <x:c r="K300" s="4"/>
      <x:c r="L300" s="4"/>
    </x:row>
    <x:row r="301">
      <x:c r="A301" s="4"/>
      <x:c r="B301" s="4"/>
      <x:c r="C301" s="4"/>
      <x:c r="D301" s="4"/>
      <x:c r="E301" s="4"/>
      <x:c r="F301" s="4"/>
      <x:c r="G301" s="4"/>
      <x:c r="H301" s="4"/>
      <x:c r="I301" s="4"/>
      <x:c r="J301" s="4"/>
      <x:c r="K301" s="4"/>
      <x:c r="L301" s="4"/>
    </x:row>
    <x:row r="302">
      <x:c r="A302" s="4"/>
      <x:c r="B302" s="4"/>
      <x:c r="C302" s="4"/>
      <x:c r="D302" s="4"/>
      <x:c r="E302" s="4"/>
      <x:c r="F302" s="4"/>
      <x:c r="G302" s="4"/>
      <x:c r="H302" s="4"/>
      <x:c r="I302" s="4"/>
      <x:c r="J302" s="4"/>
      <x:c r="K302" s="4"/>
      <x:c r="L302" s="4"/>
    </x:row>
    <x:row r="303">
      <x:c r="A303" s="4"/>
      <x:c r="B303" s="4"/>
      <x:c r="C303" s="4"/>
      <x:c r="D303" s="4"/>
      <x:c r="E303" s="4"/>
      <x:c r="F303" s="4"/>
      <x:c r="G303" s="4"/>
      <x:c r="H303" s="4"/>
      <x:c r="I303" s="4"/>
      <x:c r="J303" s="4"/>
      <x:c r="K303" s="4"/>
      <x:c r="L303" s="4"/>
    </x:row>
    <x:row r="304">
      <x:c r="A304" s="4"/>
      <x:c r="B304" s="4"/>
      <x:c r="C304" s="4"/>
      <x:c r="D304" s="4"/>
      <x:c r="E304" s="4"/>
      <x:c r="F304" s="4"/>
      <x:c r="G304" s="4"/>
      <x:c r="H304" s="4"/>
      <x:c r="I304" s="4"/>
      <x:c r="J304" s="4"/>
      <x:c r="K304" s="4"/>
      <x:c r="L304" s="4"/>
    </x:row>
    <x:row r="305">
      <x:c r="A305" s="4"/>
      <x:c r="B305" s="4"/>
      <x:c r="C305" s="4"/>
      <x:c r="D305" s="4"/>
      <x:c r="E305" s="4"/>
      <x:c r="F305" s="4"/>
      <x:c r="G305" s="4"/>
      <x:c r="H305" s="4"/>
      <x:c r="I305" s="4"/>
      <x:c r="J305" s="4"/>
      <x:c r="K305" s="4"/>
      <x:c r="L305" s="4"/>
    </x:row>
    <x:row r="306">
      <x:c r="A306" s="4"/>
      <x:c r="B306" s="4"/>
      <x:c r="C306" s="4"/>
      <x:c r="D306" s="4"/>
      <x:c r="E306" s="4"/>
      <x:c r="F306" s="4"/>
      <x:c r="G306" s="4"/>
      <x:c r="H306" s="4"/>
      <x:c r="I306" s="4"/>
      <x:c r="J306" s="4"/>
      <x:c r="K306" s="4"/>
      <x:c r="L306" s="4"/>
    </x:row>
    <x:row r="307">
      <x:c r="A307" s="4"/>
      <x:c r="B307" s="4"/>
      <x:c r="C307" s="4"/>
      <x:c r="D307" s="4"/>
      <x:c r="E307" s="4"/>
      <x:c r="F307" s="4"/>
      <x:c r="G307" s="4"/>
      <x:c r="H307" s="4"/>
      <x:c r="I307" s="4"/>
      <x:c r="J307" s="4"/>
      <x:c r="K307" s="4"/>
      <x:c r="L307" s="4"/>
    </x:row>
    <x:row r="308">
      <x:c r="A308" s="4"/>
      <x:c r="B308" s="4"/>
      <x:c r="C308" s="4"/>
      <x:c r="D308" s="4"/>
      <x:c r="E308" s="4"/>
      <x:c r="F308" s="4"/>
      <x:c r="G308" s="4"/>
      <x:c r="H308" s="4"/>
      <x:c r="I308" s="4"/>
      <x:c r="J308" s="4"/>
      <x:c r="K308" s="4"/>
      <x:c r="L308" s="4"/>
    </x:row>
    <x:row r="309">
      <x:c r="A309" s="4"/>
      <x:c r="B309" s="4"/>
      <x:c r="C309" s="4"/>
      <x:c r="D309" s="4"/>
      <x:c r="E309" s="4"/>
      <x:c r="F309" s="4"/>
      <x:c r="G309" s="4"/>
      <x:c r="H309" s="4"/>
      <x:c r="I309" s="4"/>
      <x:c r="J309" s="4"/>
      <x:c r="K309" s="4"/>
      <x:c r="L309" s="4"/>
    </x:row>
    <x:row r="310">
      <x:c r="A310" s="4"/>
      <x:c r="B310" s="4"/>
      <x:c r="C310" s="4"/>
      <x:c r="D310" s="4"/>
      <x:c r="E310" s="4"/>
      <x:c r="F310" s="4"/>
      <x:c r="G310" s="4"/>
      <x:c r="H310" s="4"/>
      <x:c r="I310" s="4"/>
      <x:c r="J310" s="4"/>
      <x:c r="K310" s="4"/>
      <x:c r="L310" s="4"/>
    </x:row>
  </x:sheetData>
  <x:mergeCells>
    <x:mergeCell ref="A1:B2"/>
  </x:mergeCells>
  <x:pageMargins left="0.7" right="0.7" top="0.75" bottom="0.75" header="0.3" footer="0.3"/>
</x:worksheet>
</file>